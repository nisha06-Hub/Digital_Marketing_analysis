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D5DCC73A9B073A1/Documents/"/>
    </mc:Choice>
  </mc:AlternateContent>
  <xr:revisionPtr revIDLastSave="1035" documentId="8_{6AE66F68-E079-4F70-B515-72B7441A4FE4}" xr6:coauthVersionLast="47" xr6:coauthVersionMax="47" xr10:uidLastSave="{E08093C1-F897-4FD9-B3D3-BA60B507F362}"/>
  <bookViews>
    <workbookView xWindow="-108" yWindow="-108" windowWidth="23256" windowHeight="12456" activeTab="2" xr2:uid="{00000000-000D-0000-FFFF-FFFF00000000}"/>
  </bookViews>
  <sheets>
    <sheet name="pivot" sheetId="2" r:id="rId1"/>
    <sheet name="Dashboard" sheetId="7" r:id="rId2"/>
    <sheet name="Marketing_Campaign_Data" sheetId="1" r:id="rId3"/>
  </sheets>
  <calcPr calcId="191029"/>
  <pivotCaches>
    <pivotCache cacheId="0" r:id="rId4"/>
    <pivotCache cacheId="21" r:id="rId5"/>
    <pivotCache cacheId="4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J8" i="1" s="1"/>
  <c r="I9" i="1"/>
  <c r="J9" i="1" s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J23" i="1" s="1"/>
  <c r="I24" i="1"/>
  <c r="J24" i="1" s="1"/>
  <c r="I25" i="1"/>
  <c r="J25" i="1" s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J40" i="1" s="1"/>
  <c r="I41" i="1"/>
  <c r="J41" i="1" s="1"/>
  <c r="I42" i="1"/>
  <c r="I43" i="1"/>
  <c r="I44" i="1"/>
  <c r="I45" i="1"/>
  <c r="I46" i="1"/>
  <c r="I47" i="1"/>
  <c r="J47" i="1" s="1"/>
  <c r="I48" i="1"/>
  <c r="J48" i="1" s="1"/>
  <c r="I49" i="1"/>
  <c r="J49" i="1" s="1"/>
  <c r="I50" i="1"/>
  <c r="I51" i="1"/>
  <c r="I52" i="1"/>
  <c r="I53" i="1"/>
  <c r="I54" i="1"/>
  <c r="I55" i="1"/>
  <c r="I56" i="1"/>
  <c r="I57" i="1"/>
  <c r="J57" i="1" s="1"/>
  <c r="I58" i="1"/>
  <c r="I59" i="1"/>
  <c r="I60" i="1"/>
  <c r="I61" i="1"/>
  <c r="I62" i="1"/>
  <c r="I63" i="1"/>
  <c r="J63" i="1" s="1"/>
  <c r="I64" i="1"/>
  <c r="J64" i="1" s="1"/>
  <c r="I65" i="1"/>
  <c r="J65" i="1" s="1"/>
  <c r="I66" i="1"/>
  <c r="I67" i="1"/>
  <c r="I68" i="1"/>
  <c r="I69" i="1"/>
  <c r="I70" i="1"/>
  <c r="I71" i="1"/>
  <c r="I72" i="1"/>
  <c r="I73" i="1"/>
  <c r="J73" i="1" s="1"/>
  <c r="I74" i="1"/>
  <c r="I75" i="1"/>
  <c r="I76" i="1"/>
  <c r="I77" i="1"/>
  <c r="I78" i="1"/>
  <c r="I79" i="1"/>
  <c r="J79" i="1" s="1"/>
  <c r="I80" i="1"/>
  <c r="J80" i="1" s="1"/>
  <c r="I81" i="1"/>
  <c r="J81" i="1" s="1"/>
  <c r="I82" i="1"/>
  <c r="I83" i="1"/>
  <c r="I84" i="1"/>
  <c r="I85" i="1"/>
  <c r="I86" i="1"/>
  <c r="I87" i="1"/>
  <c r="I88" i="1"/>
  <c r="J88" i="1" s="1"/>
  <c r="I89" i="1"/>
  <c r="J89" i="1" s="1"/>
  <c r="I90" i="1"/>
  <c r="I91" i="1"/>
  <c r="I92" i="1"/>
  <c r="I93" i="1"/>
  <c r="I94" i="1"/>
  <c r="I95" i="1"/>
  <c r="J95" i="1" s="1"/>
  <c r="I96" i="1"/>
  <c r="J96" i="1" s="1"/>
  <c r="I97" i="1"/>
  <c r="J97" i="1" s="1"/>
  <c r="I98" i="1"/>
  <c r="I99" i="1"/>
  <c r="I100" i="1"/>
  <c r="I101" i="1"/>
  <c r="I102" i="1"/>
  <c r="I103" i="1"/>
  <c r="J103" i="1" s="1"/>
  <c r="I104" i="1"/>
  <c r="J104" i="1" s="1"/>
  <c r="I105" i="1"/>
  <c r="J105" i="1" s="1"/>
  <c r="I106" i="1"/>
  <c r="I107" i="1"/>
  <c r="I108" i="1"/>
  <c r="I109" i="1"/>
  <c r="I110" i="1"/>
  <c r="I111" i="1"/>
  <c r="I112" i="1"/>
  <c r="I113" i="1"/>
  <c r="J113" i="1" s="1"/>
  <c r="I114" i="1"/>
  <c r="I115" i="1"/>
  <c r="I116" i="1"/>
  <c r="I117" i="1"/>
  <c r="I118" i="1"/>
  <c r="I119" i="1"/>
  <c r="I120" i="1"/>
  <c r="J120" i="1" s="1"/>
  <c r="I121" i="1"/>
  <c r="J121" i="1" s="1"/>
  <c r="I122" i="1"/>
  <c r="I123" i="1"/>
  <c r="I124" i="1"/>
  <c r="I125" i="1"/>
  <c r="I126" i="1"/>
  <c r="I127" i="1"/>
  <c r="J127" i="1" s="1"/>
  <c r="I128" i="1"/>
  <c r="I129" i="1"/>
  <c r="J129" i="1" s="1"/>
  <c r="I130" i="1"/>
  <c r="I131" i="1"/>
  <c r="I132" i="1"/>
  <c r="I133" i="1"/>
  <c r="I134" i="1"/>
  <c r="I135" i="1"/>
  <c r="J135" i="1" s="1"/>
  <c r="I136" i="1"/>
  <c r="J136" i="1" s="1"/>
  <c r="I137" i="1"/>
  <c r="J137" i="1" s="1"/>
  <c r="I138" i="1"/>
  <c r="I139" i="1"/>
  <c r="I140" i="1"/>
  <c r="I141" i="1"/>
  <c r="I142" i="1"/>
  <c r="I143" i="1"/>
  <c r="I144" i="1"/>
  <c r="J144" i="1" s="1"/>
  <c r="I145" i="1"/>
  <c r="I146" i="1"/>
  <c r="I147" i="1"/>
  <c r="I148" i="1"/>
  <c r="I149" i="1"/>
  <c r="I150" i="1"/>
  <c r="I151" i="1"/>
  <c r="J151" i="1" s="1"/>
  <c r="I152" i="1"/>
  <c r="J152" i="1" s="1"/>
  <c r="I153" i="1"/>
  <c r="J153" i="1" s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J167" i="1" s="1"/>
  <c r="I168" i="1"/>
  <c r="J168" i="1" s="1"/>
  <c r="I169" i="1"/>
  <c r="J169" i="1" s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J183" i="1" s="1"/>
  <c r="I184" i="1"/>
  <c r="J184" i="1" s="1"/>
  <c r="I185" i="1"/>
  <c r="J185" i="1" s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J199" i="1" s="1"/>
  <c r="I200" i="1"/>
  <c r="J200" i="1" s="1"/>
  <c r="I201" i="1"/>
  <c r="J201" i="1" s="1"/>
  <c r="I202" i="1"/>
  <c r="I203" i="1"/>
  <c r="I204" i="1"/>
  <c r="I205" i="1"/>
  <c r="I206" i="1"/>
  <c r="I207" i="1"/>
  <c r="J207" i="1" s="1"/>
  <c r="I208" i="1"/>
  <c r="J208" i="1" s="1"/>
  <c r="I209" i="1"/>
  <c r="J209" i="1" s="1"/>
  <c r="I210" i="1"/>
  <c r="I211" i="1"/>
  <c r="I212" i="1"/>
  <c r="I213" i="1"/>
  <c r="I214" i="1"/>
  <c r="I215" i="1"/>
  <c r="J215" i="1" s="1"/>
  <c r="I216" i="1"/>
  <c r="J216" i="1" s="1"/>
  <c r="I217" i="1"/>
  <c r="J217" i="1" s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J231" i="1" s="1"/>
  <c r="I232" i="1"/>
  <c r="J232" i="1" s="1"/>
  <c r="I233" i="1"/>
  <c r="J233" i="1" s="1"/>
  <c r="I234" i="1"/>
  <c r="I235" i="1"/>
  <c r="I236" i="1"/>
  <c r="I237" i="1"/>
  <c r="I238" i="1"/>
  <c r="I239" i="1"/>
  <c r="J239" i="1" s="1"/>
  <c r="I240" i="1"/>
  <c r="I241" i="1"/>
  <c r="J241" i="1" s="1"/>
  <c r="I242" i="1"/>
  <c r="I243" i="1"/>
  <c r="I244" i="1"/>
  <c r="I245" i="1"/>
  <c r="I246" i="1"/>
  <c r="I247" i="1"/>
  <c r="I248" i="1"/>
  <c r="I249" i="1"/>
  <c r="J249" i="1" s="1"/>
  <c r="I250" i="1"/>
  <c r="I251" i="1"/>
  <c r="I252" i="1"/>
  <c r="I253" i="1"/>
  <c r="I254" i="1"/>
  <c r="I255" i="1"/>
  <c r="J255" i="1" s="1"/>
  <c r="I256" i="1"/>
  <c r="J256" i="1" s="1"/>
  <c r="I257" i="1"/>
  <c r="J257" i="1" s="1"/>
  <c r="I258" i="1"/>
  <c r="I259" i="1"/>
  <c r="I260" i="1"/>
  <c r="I261" i="1"/>
  <c r="I262" i="1"/>
  <c r="I263" i="1"/>
  <c r="I264" i="1"/>
  <c r="J264" i="1" s="1"/>
  <c r="I265" i="1"/>
  <c r="I266" i="1"/>
  <c r="I267" i="1"/>
  <c r="I268" i="1"/>
  <c r="I269" i="1"/>
  <c r="I270" i="1"/>
  <c r="I271" i="1"/>
  <c r="J271" i="1" s="1"/>
  <c r="I272" i="1"/>
  <c r="J272" i="1" s="1"/>
  <c r="I273" i="1"/>
  <c r="J273" i="1" s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J287" i="1" s="1"/>
  <c r="I288" i="1"/>
  <c r="J288" i="1" s="1"/>
  <c r="I289" i="1"/>
  <c r="J289" i="1" s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J303" i="1" s="1"/>
  <c r="I304" i="1"/>
  <c r="J304" i="1" s="1"/>
  <c r="I305" i="1"/>
  <c r="J305" i="1" s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J321" i="1" s="1"/>
  <c r="I322" i="1"/>
  <c r="I323" i="1"/>
  <c r="I324" i="1"/>
  <c r="I325" i="1"/>
  <c r="I326" i="1"/>
  <c r="I327" i="1"/>
  <c r="I328" i="1"/>
  <c r="J328" i="1" s="1"/>
  <c r="I329" i="1"/>
  <c r="J329" i="1" s="1"/>
  <c r="I330" i="1"/>
  <c r="I331" i="1"/>
  <c r="I332" i="1"/>
  <c r="I333" i="1"/>
  <c r="I334" i="1"/>
  <c r="I335" i="1"/>
  <c r="I336" i="1"/>
  <c r="I337" i="1"/>
  <c r="J337" i="1" s="1"/>
  <c r="I338" i="1"/>
  <c r="I339" i="1"/>
  <c r="I340" i="1"/>
  <c r="I341" i="1"/>
  <c r="I342" i="1"/>
  <c r="I343" i="1"/>
  <c r="I344" i="1"/>
  <c r="J344" i="1" s="1"/>
  <c r="I345" i="1"/>
  <c r="J345" i="1" s="1"/>
  <c r="I346" i="1"/>
  <c r="I347" i="1"/>
  <c r="I348" i="1"/>
  <c r="I349" i="1"/>
  <c r="I350" i="1"/>
  <c r="I351" i="1"/>
  <c r="I352" i="1"/>
  <c r="I353" i="1"/>
  <c r="J353" i="1" s="1"/>
  <c r="I354" i="1"/>
  <c r="I355" i="1"/>
  <c r="I356" i="1"/>
  <c r="I357" i="1"/>
  <c r="I358" i="1"/>
  <c r="I359" i="1"/>
  <c r="J359" i="1" s="1"/>
  <c r="I360" i="1"/>
  <c r="I361" i="1"/>
  <c r="J361" i="1" s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J375" i="1" s="1"/>
  <c r="I376" i="1"/>
  <c r="J376" i="1" s="1"/>
  <c r="I377" i="1"/>
  <c r="J377" i="1" s="1"/>
  <c r="I378" i="1"/>
  <c r="I379" i="1"/>
  <c r="I380" i="1"/>
  <c r="I381" i="1"/>
  <c r="I382" i="1"/>
  <c r="I383" i="1"/>
  <c r="J383" i="1" s="1"/>
  <c r="I384" i="1"/>
  <c r="J384" i="1" s="1"/>
  <c r="I385" i="1"/>
  <c r="J385" i="1" s="1"/>
  <c r="I386" i="1"/>
  <c r="I387" i="1"/>
  <c r="I388" i="1"/>
  <c r="I389" i="1"/>
  <c r="I390" i="1"/>
  <c r="I391" i="1"/>
  <c r="I392" i="1"/>
  <c r="I393" i="1"/>
  <c r="J393" i="1" s="1"/>
  <c r="I394" i="1"/>
  <c r="I395" i="1"/>
  <c r="I396" i="1"/>
  <c r="I397" i="1"/>
  <c r="I398" i="1"/>
  <c r="I399" i="1"/>
  <c r="J399" i="1" s="1"/>
  <c r="I400" i="1"/>
  <c r="J400" i="1" s="1"/>
  <c r="I401" i="1"/>
  <c r="J401" i="1" s="1"/>
  <c r="I402" i="1"/>
  <c r="I403" i="1"/>
  <c r="I404" i="1"/>
  <c r="I405" i="1"/>
  <c r="I406" i="1"/>
  <c r="I407" i="1"/>
  <c r="I408" i="1"/>
  <c r="I409" i="1"/>
  <c r="J409" i="1" s="1"/>
  <c r="I410" i="1"/>
  <c r="I411" i="1"/>
  <c r="I412" i="1"/>
  <c r="I413" i="1"/>
  <c r="I414" i="1"/>
  <c r="I415" i="1"/>
  <c r="J415" i="1" s="1"/>
  <c r="I416" i="1"/>
  <c r="I417" i="1"/>
  <c r="J417" i="1" s="1"/>
  <c r="I418" i="1"/>
  <c r="I419" i="1"/>
  <c r="I420" i="1"/>
  <c r="I421" i="1"/>
  <c r="I422" i="1"/>
  <c r="I423" i="1"/>
  <c r="I424" i="1"/>
  <c r="I425" i="1"/>
  <c r="J425" i="1" s="1"/>
  <c r="I426" i="1"/>
  <c r="I427" i="1"/>
  <c r="I428" i="1"/>
  <c r="I429" i="1"/>
  <c r="I430" i="1"/>
  <c r="I431" i="1"/>
  <c r="J431" i="1" s="1"/>
  <c r="I432" i="1"/>
  <c r="J432" i="1" s="1"/>
  <c r="I433" i="1"/>
  <c r="J433" i="1" s="1"/>
  <c r="I434" i="1"/>
  <c r="I435" i="1"/>
  <c r="I436" i="1"/>
  <c r="I437" i="1"/>
  <c r="I438" i="1"/>
  <c r="I439" i="1"/>
  <c r="J439" i="1" s="1"/>
  <c r="I440" i="1"/>
  <c r="I441" i="1"/>
  <c r="J441" i="1" s="1"/>
  <c r="I442" i="1"/>
  <c r="I443" i="1"/>
  <c r="I444" i="1"/>
  <c r="I445" i="1"/>
  <c r="I446" i="1"/>
  <c r="I447" i="1"/>
  <c r="J447" i="1" s="1"/>
  <c r="I448" i="1"/>
  <c r="J448" i="1" s="1"/>
  <c r="I449" i="1"/>
  <c r="J449" i="1" s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J463" i="1" s="1"/>
  <c r="I464" i="1"/>
  <c r="J464" i="1" s="1"/>
  <c r="I465" i="1"/>
  <c r="J465" i="1" s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J479" i="1" s="1"/>
  <c r="I480" i="1"/>
  <c r="J480" i="1" s="1"/>
  <c r="I481" i="1"/>
  <c r="J481" i="1" s="1"/>
  <c r="I482" i="1"/>
  <c r="I483" i="1"/>
  <c r="I484" i="1"/>
  <c r="I485" i="1"/>
  <c r="I486" i="1"/>
  <c r="I487" i="1"/>
  <c r="I488" i="1"/>
  <c r="I489" i="1"/>
  <c r="J489" i="1" s="1"/>
  <c r="I490" i="1"/>
  <c r="I491" i="1"/>
  <c r="I492" i="1"/>
  <c r="I493" i="1"/>
  <c r="I494" i="1"/>
  <c r="I495" i="1"/>
  <c r="J495" i="1" s="1"/>
  <c r="I496" i="1"/>
  <c r="J496" i="1" s="1"/>
  <c r="I497" i="1"/>
  <c r="J497" i="1" s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J511" i="1" s="1"/>
  <c r="I512" i="1"/>
  <c r="J512" i="1" s="1"/>
  <c r="I513" i="1"/>
  <c r="J513" i="1" s="1"/>
  <c r="I514" i="1"/>
  <c r="I515" i="1"/>
  <c r="I516" i="1"/>
  <c r="I517" i="1"/>
  <c r="I518" i="1"/>
  <c r="I519" i="1"/>
  <c r="J519" i="1" s="1"/>
  <c r="I520" i="1"/>
  <c r="I521" i="1"/>
  <c r="I522" i="1"/>
  <c r="I523" i="1"/>
  <c r="I524" i="1"/>
  <c r="I525" i="1"/>
  <c r="I526" i="1"/>
  <c r="I527" i="1"/>
  <c r="J527" i="1" s="1"/>
  <c r="I528" i="1"/>
  <c r="J528" i="1" s="1"/>
  <c r="I529" i="1"/>
  <c r="J529" i="1" s="1"/>
  <c r="I530" i="1"/>
  <c r="I531" i="1"/>
  <c r="I532" i="1"/>
  <c r="I533" i="1"/>
  <c r="I534" i="1"/>
  <c r="I535" i="1"/>
  <c r="I536" i="1"/>
  <c r="J536" i="1" s="1"/>
  <c r="I537" i="1"/>
  <c r="J537" i="1" s="1"/>
  <c r="I538" i="1"/>
  <c r="I539" i="1"/>
  <c r="I540" i="1"/>
  <c r="I541" i="1"/>
  <c r="I542" i="1"/>
  <c r="I543" i="1"/>
  <c r="I544" i="1"/>
  <c r="I545" i="1"/>
  <c r="J545" i="1" s="1"/>
  <c r="I546" i="1"/>
  <c r="I547" i="1"/>
  <c r="I548" i="1"/>
  <c r="I549" i="1"/>
  <c r="I550" i="1"/>
  <c r="I551" i="1"/>
  <c r="J551" i="1" s="1"/>
  <c r="I552" i="1"/>
  <c r="J552" i="1" s="1"/>
  <c r="I553" i="1"/>
  <c r="J553" i="1" s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J567" i="1" s="1"/>
  <c r="I568" i="1"/>
  <c r="J568" i="1" s="1"/>
  <c r="I569" i="1"/>
  <c r="J569" i="1" s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J583" i="1" s="1"/>
  <c r="I584" i="1"/>
  <c r="I585" i="1"/>
  <c r="J585" i="1" s="1"/>
  <c r="I586" i="1"/>
  <c r="I587" i="1"/>
  <c r="I588" i="1"/>
  <c r="I589" i="1"/>
  <c r="I590" i="1"/>
  <c r="I591" i="1"/>
  <c r="I592" i="1"/>
  <c r="J592" i="1" s="1"/>
  <c r="I593" i="1"/>
  <c r="J593" i="1" s="1"/>
  <c r="I594" i="1"/>
  <c r="I595" i="1"/>
  <c r="I596" i="1"/>
  <c r="I597" i="1"/>
  <c r="I598" i="1"/>
  <c r="I599" i="1"/>
  <c r="J599" i="1" s="1"/>
  <c r="I600" i="1"/>
  <c r="J600" i="1" s="1"/>
  <c r="I601" i="1"/>
  <c r="J601" i="1" s="1"/>
  <c r="I602" i="1"/>
  <c r="I603" i="1"/>
  <c r="I604" i="1"/>
  <c r="I605" i="1"/>
  <c r="I606" i="1"/>
  <c r="I607" i="1"/>
  <c r="J607" i="1" s="1"/>
  <c r="I608" i="1"/>
  <c r="J608" i="1" s="1"/>
  <c r="I609" i="1"/>
  <c r="J609" i="1" s="1"/>
  <c r="I610" i="1"/>
  <c r="I611" i="1"/>
  <c r="I612" i="1"/>
  <c r="I613" i="1"/>
  <c r="I614" i="1"/>
  <c r="I615" i="1"/>
  <c r="I616" i="1"/>
  <c r="J616" i="1" s="1"/>
  <c r="I617" i="1"/>
  <c r="J617" i="1" s="1"/>
  <c r="I618" i="1"/>
  <c r="I619" i="1"/>
  <c r="I620" i="1"/>
  <c r="I621" i="1"/>
  <c r="I622" i="1"/>
  <c r="I623" i="1"/>
  <c r="I624" i="1"/>
  <c r="J624" i="1" s="1"/>
  <c r="I625" i="1"/>
  <c r="J625" i="1" s="1"/>
  <c r="I626" i="1"/>
  <c r="I627" i="1"/>
  <c r="I628" i="1"/>
  <c r="I629" i="1"/>
  <c r="I630" i="1"/>
  <c r="J630" i="1" s="1"/>
  <c r="I631" i="1"/>
  <c r="J631" i="1" s="1"/>
  <c r="I632" i="1"/>
  <c r="J632" i="1" s="1"/>
  <c r="I633" i="1"/>
  <c r="J633" i="1" s="1"/>
  <c r="I634" i="1"/>
  <c r="I635" i="1"/>
  <c r="I636" i="1"/>
  <c r="I637" i="1"/>
  <c r="I638" i="1"/>
  <c r="I639" i="1"/>
  <c r="I640" i="1"/>
  <c r="J640" i="1" s="1"/>
  <c r="I641" i="1"/>
  <c r="J641" i="1" s="1"/>
  <c r="I642" i="1"/>
  <c r="I643" i="1"/>
  <c r="I644" i="1"/>
  <c r="I645" i="1"/>
  <c r="I646" i="1"/>
  <c r="J646" i="1" s="1"/>
  <c r="I647" i="1"/>
  <c r="J647" i="1" s="1"/>
  <c r="I648" i="1"/>
  <c r="I649" i="1"/>
  <c r="J649" i="1" s="1"/>
  <c r="I650" i="1"/>
  <c r="I651" i="1"/>
  <c r="I652" i="1"/>
  <c r="I653" i="1"/>
  <c r="I654" i="1"/>
  <c r="I655" i="1"/>
  <c r="I656" i="1"/>
  <c r="I657" i="1"/>
  <c r="J657" i="1" s="1"/>
  <c r="I658" i="1"/>
  <c r="I659" i="1"/>
  <c r="I660" i="1"/>
  <c r="I661" i="1"/>
  <c r="I662" i="1"/>
  <c r="J662" i="1" s="1"/>
  <c r="I663" i="1"/>
  <c r="J663" i="1" s="1"/>
  <c r="I664" i="1"/>
  <c r="J664" i="1" s="1"/>
  <c r="I665" i="1"/>
  <c r="J665" i="1" s="1"/>
  <c r="I666" i="1"/>
  <c r="I667" i="1"/>
  <c r="I668" i="1"/>
  <c r="I669" i="1"/>
  <c r="I670" i="1"/>
  <c r="I671" i="1"/>
  <c r="I672" i="1"/>
  <c r="J672" i="1" s="1"/>
  <c r="I673" i="1"/>
  <c r="J673" i="1" s="1"/>
  <c r="I674" i="1"/>
  <c r="I675" i="1"/>
  <c r="I676" i="1"/>
  <c r="I677" i="1"/>
  <c r="I678" i="1"/>
  <c r="I679" i="1"/>
  <c r="I680" i="1"/>
  <c r="J680" i="1" s="1"/>
  <c r="I681" i="1"/>
  <c r="J681" i="1" s="1"/>
  <c r="I682" i="1"/>
  <c r="I683" i="1"/>
  <c r="I684" i="1"/>
  <c r="I685" i="1"/>
  <c r="I686" i="1"/>
  <c r="I687" i="1"/>
  <c r="I688" i="1"/>
  <c r="I689" i="1"/>
  <c r="J689" i="1" s="1"/>
  <c r="I690" i="1"/>
  <c r="I691" i="1"/>
  <c r="I692" i="1"/>
  <c r="I693" i="1"/>
  <c r="I694" i="1"/>
  <c r="I695" i="1"/>
  <c r="J695" i="1" s="1"/>
  <c r="I696" i="1"/>
  <c r="J696" i="1" s="1"/>
  <c r="I697" i="1"/>
  <c r="J697" i="1" s="1"/>
  <c r="I698" i="1"/>
  <c r="I699" i="1"/>
  <c r="I700" i="1"/>
  <c r="I701" i="1"/>
  <c r="I702" i="1"/>
  <c r="I703" i="1"/>
  <c r="I704" i="1"/>
  <c r="J704" i="1" s="1"/>
  <c r="I705" i="1"/>
  <c r="J705" i="1" s="1"/>
  <c r="I706" i="1"/>
  <c r="I707" i="1"/>
  <c r="I708" i="1"/>
  <c r="I709" i="1"/>
  <c r="I710" i="1"/>
  <c r="I711" i="1"/>
  <c r="J711" i="1" s="1"/>
  <c r="I712" i="1"/>
  <c r="J712" i="1" s="1"/>
  <c r="I713" i="1"/>
  <c r="J713" i="1" s="1"/>
  <c r="I714" i="1"/>
  <c r="I715" i="1"/>
  <c r="I716" i="1"/>
  <c r="I717" i="1"/>
  <c r="I718" i="1"/>
  <c r="I719" i="1"/>
  <c r="I720" i="1"/>
  <c r="I721" i="1"/>
  <c r="J721" i="1" s="1"/>
  <c r="I722" i="1"/>
  <c r="I723" i="1"/>
  <c r="I724" i="1"/>
  <c r="I725" i="1"/>
  <c r="I726" i="1"/>
  <c r="J726" i="1" s="1"/>
  <c r="I727" i="1"/>
  <c r="I728" i="1"/>
  <c r="J728" i="1" s="1"/>
  <c r="I729" i="1"/>
  <c r="J729" i="1" s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J743" i="1" s="1"/>
  <c r="I744" i="1"/>
  <c r="J744" i="1" s="1"/>
  <c r="I745" i="1"/>
  <c r="J745" i="1" s="1"/>
  <c r="I746" i="1"/>
  <c r="I747" i="1"/>
  <c r="I748" i="1"/>
  <c r="I749" i="1"/>
  <c r="I750" i="1"/>
  <c r="I751" i="1"/>
  <c r="I752" i="1"/>
  <c r="I753" i="1"/>
  <c r="J753" i="1" s="1"/>
  <c r="I754" i="1"/>
  <c r="J754" i="1" s="1"/>
  <c r="I755" i="1"/>
  <c r="I756" i="1"/>
  <c r="I757" i="1"/>
  <c r="I758" i="1"/>
  <c r="J758" i="1" s="1"/>
  <c r="I759" i="1"/>
  <c r="J759" i="1" s="1"/>
  <c r="I760" i="1"/>
  <c r="J760" i="1" s="1"/>
  <c r="I761" i="1"/>
  <c r="J761" i="1" s="1"/>
  <c r="I762" i="1"/>
  <c r="I763" i="1"/>
  <c r="I764" i="1"/>
  <c r="I765" i="1"/>
  <c r="I766" i="1"/>
  <c r="I767" i="1"/>
  <c r="I768" i="1"/>
  <c r="J768" i="1" s="1"/>
  <c r="I769" i="1"/>
  <c r="J769" i="1" s="1"/>
  <c r="I770" i="1"/>
  <c r="J770" i="1" s="1"/>
  <c r="I771" i="1"/>
  <c r="I772" i="1"/>
  <c r="I773" i="1"/>
  <c r="I774" i="1"/>
  <c r="I775" i="1"/>
  <c r="I776" i="1"/>
  <c r="I777" i="1"/>
  <c r="I778" i="1"/>
  <c r="J778" i="1" s="1"/>
  <c r="I779" i="1"/>
  <c r="I780" i="1"/>
  <c r="I781" i="1"/>
  <c r="I782" i="1"/>
  <c r="I783" i="1"/>
  <c r="J783" i="1" s="1"/>
  <c r="I784" i="1"/>
  <c r="J784" i="1" s="1"/>
  <c r="I785" i="1"/>
  <c r="J785" i="1" s="1"/>
  <c r="I786" i="1"/>
  <c r="J786" i="1" s="1"/>
  <c r="I787" i="1"/>
  <c r="I788" i="1"/>
  <c r="I789" i="1"/>
  <c r="I790" i="1"/>
  <c r="I791" i="1"/>
  <c r="I792" i="1"/>
  <c r="I793" i="1"/>
  <c r="J793" i="1" s="1"/>
  <c r="I794" i="1"/>
  <c r="I795" i="1"/>
  <c r="I796" i="1"/>
  <c r="I797" i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I804" i="1"/>
  <c r="I805" i="1"/>
  <c r="I806" i="1"/>
  <c r="I807" i="1"/>
  <c r="I808" i="1"/>
  <c r="I809" i="1"/>
  <c r="J809" i="1" s="1"/>
  <c r="I810" i="1"/>
  <c r="J810" i="1" s="1"/>
  <c r="I811" i="1"/>
  <c r="I812" i="1"/>
  <c r="I813" i="1"/>
  <c r="I814" i="1"/>
  <c r="I815" i="1"/>
  <c r="J815" i="1" s="1"/>
  <c r="I816" i="1"/>
  <c r="J816" i="1" s="1"/>
  <c r="I817" i="1"/>
  <c r="J817" i="1" s="1"/>
  <c r="I818" i="1"/>
  <c r="I819" i="1"/>
  <c r="I820" i="1"/>
  <c r="I821" i="1"/>
  <c r="I822" i="1"/>
  <c r="I823" i="1"/>
  <c r="I824" i="1"/>
  <c r="I825" i="1"/>
  <c r="J825" i="1" s="1"/>
  <c r="I826" i="1"/>
  <c r="I827" i="1"/>
  <c r="I828" i="1"/>
  <c r="I829" i="1"/>
  <c r="I830" i="1"/>
  <c r="I831" i="1"/>
  <c r="J831" i="1" s="1"/>
  <c r="I832" i="1"/>
  <c r="I833" i="1"/>
  <c r="J833" i="1" s="1"/>
  <c r="I834" i="1"/>
  <c r="J834" i="1" s="1"/>
  <c r="I835" i="1"/>
  <c r="I836" i="1"/>
  <c r="I837" i="1"/>
  <c r="I838" i="1"/>
  <c r="I839" i="1"/>
  <c r="J839" i="1" s="1"/>
  <c r="I840" i="1"/>
  <c r="J840" i="1" s="1"/>
  <c r="I841" i="1"/>
  <c r="J841" i="1" s="1"/>
  <c r="I842" i="1"/>
  <c r="J842" i="1" s="1"/>
  <c r="I843" i="1"/>
  <c r="I844" i="1"/>
  <c r="I845" i="1"/>
  <c r="I846" i="1"/>
  <c r="I847" i="1"/>
  <c r="I848" i="1"/>
  <c r="J848" i="1" s="1"/>
  <c r="I849" i="1"/>
  <c r="J849" i="1" s="1"/>
  <c r="I850" i="1"/>
  <c r="J850" i="1" s="1"/>
  <c r="I851" i="1"/>
  <c r="I852" i="1"/>
  <c r="I853" i="1"/>
  <c r="I854" i="1"/>
  <c r="I855" i="1"/>
  <c r="J855" i="1" s="1"/>
  <c r="I856" i="1"/>
  <c r="J856" i="1" s="1"/>
  <c r="I857" i="1"/>
  <c r="J857" i="1" s="1"/>
  <c r="I858" i="1"/>
  <c r="I859" i="1"/>
  <c r="I860" i="1"/>
  <c r="I861" i="1"/>
  <c r="I862" i="1"/>
  <c r="J862" i="1" s="1"/>
  <c r="I863" i="1"/>
  <c r="I864" i="1"/>
  <c r="I865" i="1"/>
  <c r="I866" i="1"/>
  <c r="J866" i="1" s="1"/>
  <c r="I867" i="1"/>
  <c r="I868" i="1"/>
  <c r="I869" i="1"/>
  <c r="I870" i="1"/>
  <c r="I871" i="1"/>
  <c r="J871" i="1" s="1"/>
  <c r="I872" i="1"/>
  <c r="J872" i="1" s="1"/>
  <c r="I873" i="1"/>
  <c r="J873" i="1" s="1"/>
  <c r="I874" i="1"/>
  <c r="J874" i="1" s="1"/>
  <c r="I875" i="1"/>
  <c r="I876" i="1"/>
  <c r="I877" i="1"/>
  <c r="I878" i="1"/>
  <c r="I879" i="1"/>
  <c r="I880" i="1"/>
  <c r="I881" i="1"/>
  <c r="J881" i="1" s="1"/>
  <c r="I882" i="1"/>
  <c r="J882" i="1" s="1"/>
  <c r="I883" i="1"/>
  <c r="I884" i="1"/>
  <c r="I885" i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I892" i="1"/>
  <c r="I893" i="1"/>
  <c r="I894" i="1"/>
  <c r="I895" i="1"/>
  <c r="I896" i="1"/>
  <c r="I897" i="1"/>
  <c r="J897" i="1" s="1"/>
  <c r="I898" i="1"/>
  <c r="I899" i="1"/>
  <c r="J899" i="1" s="1"/>
  <c r="I900" i="1"/>
  <c r="I901" i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I908" i="1"/>
  <c r="I909" i="1"/>
  <c r="I910" i="1"/>
  <c r="J910" i="1" s="1"/>
  <c r="I911" i="1"/>
  <c r="I912" i="1"/>
  <c r="J912" i="1" s="1"/>
  <c r="I913" i="1"/>
  <c r="J913" i="1" s="1"/>
  <c r="I914" i="1"/>
  <c r="J914" i="1" s="1"/>
  <c r="I915" i="1"/>
  <c r="I916" i="1"/>
  <c r="I917" i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I924" i="1"/>
  <c r="I925" i="1"/>
  <c r="I926" i="1"/>
  <c r="I927" i="1"/>
  <c r="I928" i="1"/>
  <c r="I929" i="1"/>
  <c r="J929" i="1" s="1"/>
  <c r="I930" i="1"/>
  <c r="I931" i="1"/>
  <c r="J931" i="1" s="1"/>
  <c r="I932" i="1"/>
  <c r="I933" i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I940" i="1"/>
  <c r="I941" i="1"/>
  <c r="I942" i="1"/>
  <c r="J942" i="1" s="1"/>
  <c r="I943" i="1"/>
  <c r="I944" i="1"/>
  <c r="I945" i="1"/>
  <c r="J945" i="1" s="1"/>
  <c r="I946" i="1"/>
  <c r="J946" i="1" s="1"/>
  <c r="I947" i="1"/>
  <c r="I948" i="1"/>
  <c r="I949" i="1"/>
  <c r="I950" i="1"/>
  <c r="I951" i="1"/>
  <c r="J951" i="1" s="1"/>
  <c r="I952" i="1"/>
  <c r="J952" i="1" s="1"/>
  <c r="I953" i="1"/>
  <c r="J953" i="1" s="1"/>
  <c r="I954" i="1"/>
  <c r="J954" i="1" s="1"/>
  <c r="I955" i="1"/>
  <c r="I956" i="1"/>
  <c r="I957" i="1"/>
  <c r="I958" i="1"/>
  <c r="I959" i="1"/>
  <c r="I960" i="1"/>
  <c r="I961" i="1"/>
  <c r="J961" i="1" s="1"/>
  <c r="I962" i="1"/>
  <c r="I963" i="1"/>
  <c r="I964" i="1"/>
  <c r="I965" i="1"/>
  <c r="I966" i="1"/>
  <c r="J966" i="1" s="1"/>
  <c r="I967" i="1"/>
  <c r="J967" i="1" s="1"/>
  <c r="I968" i="1"/>
  <c r="J968" i="1" s="1"/>
  <c r="I969" i="1"/>
  <c r="J969" i="1" s="1"/>
  <c r="I970" i="1"/>
  <c r="I971" i="1"/>
  <c r="I972" i="1"/>
  <c r="I973" i="1"/>
  <c r="I974" i="1"/>
  <c r="I975" i="1"/>
  <c r="I976" i="1"/>
  <c r="J976" i="1" s="1"/>
  <c r="I977" i="1"/>
  <c r="I978" i="1"/>
  <c r="J978" i="1" s="1"/>
  <c r="I979" i="1"/>
  <c r="I980" i="1"/>
  <c r="I981" i="1"/>
  <c r="I982" i="1"/>
  <c r="I983" i="1"/>
  <c r="J983" i="1" s="1"/>
  <c r="I984" i="1"/>
  <c r="J984" i="1" s="1"/>
  <c r="I985" i="1"/>
  <c r="J985" i="1" s="1"/>
  <c r="I986" i="1"/>
  <c r="J986" i="1" s="1"/>
  <c r="I987" i="1"/>
  <c r="I988" i="1"/>
  <c r="I989" i="1"/>
  <c r="I990" i="1"/>
  <c r="I991" i="1"/>
  <c r="I992" i="1"/>
  <c r="I993" i="1"/>
  <c r="J993" i="1" s="1"/>
  <c r="I994" i="1"/>
  <c r="J994" i="1" s="1"/>
  <c r="I995" i="1"/>
  <c r="I996" i="1"/>
  <c r="I997" i="1"/>
  <c r="I998" i="1"/>
  <c r="J998" i="1" s="1"/>
  <c r="I999" i="1"/>
  <c r="J999" i="1" s="1"/>
  <c r="I1000" i="1"/>
  <c r="J1000" i="1" s="1"/>
  <c r="I1001" i="1"/>
  <c r="J1001" i="1" s="1"/>
  <c r="J3" i="1"/>
  <c r="J6" i="1"/>
  <c r="J11" i="1"/>
  <c r="J14" i="1"/>
  <c r="J16" i="1"/>
  <c r="J17" i="1"/>
  <c r="J22" i="1"/>
  <c r="J27" i="1"/>
  <c r="J30" i="1"/>
  <c r="J32" i="1"/>
  <c r="J33" i="1"/>
  <c r="J39" i="1"/>
  <c r="J43" i="1"/>
  <c r="J51" i="1"/>
  <c r="J55" i="1"/>
  <c r="J56" i="1"/>
  <c r="J62" i="1"/>
  <c r="J71" i="1"/>
  <c r="J72" i="1"/>
  <c r="J75" i="1"/>
  <c r="J78" i="1"/>
  <c r="J86" i="1"/>
  <c r="J87" i="1"/>
  <c r="J91" i="1"/>
  <c r="J107" i="1"/>
  <c r="J111" i="1"/>
  <c r="J112" i="1"/>
  <c r="J115" i="1"/>
  <c r="J118" i="1"/>
  <c r="J123" i="1"/>
  <c r="J128" i="1"/>
  <c r="J134" i="1"/>
  <c r="J139" i="1"/>
  <c r="J142" i="1"/>
  <c r="J143" i="1"/>
  <c r="J145" i="1"/>
  <c r="J147" i="1"/>
  <c r="J158" i="1"/>
  <c r="J159" i="1"/>
  <c r="J160" i="1"/>
  <c r="J161" i="1"/>
  <c r="J163" i="1"/>
  <c r="J171" i="1"/>
  <c r="J174" i="1"/>
  <c r="J175" i="1"/>
  <c r="J177" i="1"/>
  <c r="J179" i="1"/>
  <c r="J187" i="1"/>
  <c r="J190" i="1"/>
  <c r="J191" i="1"/>
  <c r="J192" i="1"/>
  <c r="J193" i="1"/>
  <c r="J195" i="1"/>
  <c r="J198" i="1"/>
  <c r="J206" i="1"/>
  <c r="J211" i="1"/>
  <c r="J214" i="1"/>
  <c r="J219" i="1"/>
  <c r="J223" i="1"/>
  <c r="J224" i="1"/>
  <c r="J225" i="1"/>
  <c r="J227" i="1"/>
  <c r="J230" i="1"/>
  <c r="J238" i="1"/>
  <c r="J240" i="1"/>
  <c r="J246" i="1"/>
  <c r="J248" i="1"/>
  <c r="J259" i="1"/>
  <c r="J262" i="1"/>
  <c r="J265" i="1"/>
  <c r="J267" i="1"/>
  <c r="J270" i="1"/>
  <c r="J279" i="1"/>
  <c r="J280" i="1"/>
  <c r="J281" i="1"/>
  <c r="J283" i="1"/>
  <c r="J291" i="1"/>
  <c r="J295" i="1"/>
  <c r="J296" i="1"/>
  <c r="J297" i="1"/>
  <c r="J302" i="1"/>
  <c r="J310" i="1"/>
  <c r="J311" i="1"/>
  <c r="J312" i="1"/>
  <c r="J313" i="1"/>
  <c r="J320" i="1"/>
  <c r="J326" i="1"/>
  <c r="J331" i="1"/>
  <c r="J334" i="1"/>
  <c r="J335" i="1"/>
  <c r="J336" i="1"/>
  <c r="J342" i="1"/>
  <c r="J347" i="1"/>
  <c r="J350" i="1"/>
  <c r="J351" i="1"/>
  <c r="J352" i="1"/>
  <c r="J355" i="1"/>
  <c r="J358" i="1"/>
  <c r="J366" i="1"/>
  <c r="J367" i="1"/>
  <c r="J368" i="1"/>
  <c r="J369" i="1"/>
  <c r="J374" i="1"/>
  <c r="J387" i="1"/>
  <c r="J391" i="1"/>
  <c r="J392" i="1"/>
  <c r="J398" i="1"/>
  <c r="J403" i="1"/>
  <c r="J407" i="1"/>
  <c r="J408" i="1"/>
  <c r="J414" i="1"/>
  <c r="J419" i="1"/>
  <c r="J422" i="1"/>
  <c r="J423" i="1"/>
  <c r="J424" i="1"/>
  <c r="J427" i="1"/>
  <c r="J435" i="1"/>
  <c r="J438" i="1"/>
  <c r="J440" i="1"/>
  <c r="J443" i="1"/>
  <c r="J454" i="1"/>
  <c r="J455" i="1"/>
  <c r="J456" i="1"/>
  <c r="J457" i="1"/>
  <c r="J459" i="1"/>
  <c r="J462" i="1"/>
  <c r="J470" i="1"/>
  <c r="J471" i="1"/>
  <c r="J472" i="1"/>
  <c r="J473" i="1"/>
  <c r="J475" i="1"/>
  <c r="J478" i="1"/>
  <c r="J483" i="1"/>
  <c r="J486" i="1"/>
  <c r="J487" i="1"/>
  <c r="J488" i="1"/>
  <c r="J499" i="1"/>
  <c r="J503" i="1"/>
  <c r="J504" i="1"/>
  <c r="J505" i="1"/>
  <c r="J507" i="1"/>
  <c r="J510" i="1"/>
  <c r="J518" i="1"/>
  <c r="J520" i="1"/>
  <c r="J521" i="1"/>
  <c r="J523" i="1"/>
  <c r="J534" i="1"/>
  <c r="J535" i="1"/>
  <c r="J543" i="1"/>
  <c r="J544" i="1"/>
  <c r="J547" i="1"/>
  <c r="J559" i="1"/>
  <c r="J560" i="1"/>
  <c r="J561" i="1"/>
  <c r="J563" i="1"/>
  <c r="J571" i="1"/>
  <c r="J574" i="1"/>
  <c r="J576" i="1"/>
  <c r="J577" i="1"/>
  <c r="J579" i="1"/>
  <c r="J582" i="1"/>
  <c r="J587" i="1"/>
  <c r="J590" i="1"/>
  <c r="J591" i="1"/>
  <c r="J595" i="1"/>
  <c r="J598" i="1"/>
  <c r="J619" i="1"/>
  <c r="J622" i="1"/>
  <c r="J623" i="1"/>
  <c r="J635" i="1"/>
  <c r="J639" i="1"/>
  <c r="J651" i="1"/>
  <c r="J655" i="1"/>
  <c r="J656" i="1"/>
  <c r="J659" i="1"/>
  <c r="J670" i="1"/>
  <c r="J671" i="1"/>
  <c r="J675" i="1"/>
  <c r="J678" i="1"/>
  <c r="J679" i="1"/>
  <c r="J683" i="1"/>
  <c r="J687" i="1"/>
  <c r="J688" i="1"/>
  <c r="J691" i="1"/>
  <c r="J699" i="1"/>
  <c r="J702" i="1"/>
  <c r="J703" i="1"/>
  <c r="J715" i="1"/>
  <c r="J718" i="1"/>
  <c r="J720" i="1"/>
  <c r="J723" i="1"/>
  <c r="J734" i="1"/>
  <c r="J736" i="1"/>
  <c r="J737" i="1"/>
  <c r="J739" i="1"/>
  <c r="J742" i="1"/>
  <c r="J747" i="1"/>
  <c r="J750" i="1"/>
  <c r="J751" i="1"/>
  <c r="J752" i="1"/>
  <c r="J755" i="1"/>
  <c r="J763" i="1"/>
  <c r="J766" i="1"/>
  <c r="J767" i="1"/>
  <c r="J771" i="1"/>
  <c r="J774" i="1"/>
  <c r="J775" i="1"/>
  <c r="J776" i="1"/>
  <c r="J777" i="1"/>
  <c r="J779" i="1"/>
  <c r="J782" i="1"/>
  <c r="J790" i="1"/>
  <c r="J791" i="1"/>
  <c r="J792" i="1"/>
  <c r="J795" i="1"/>
  <c r="J806" i="1"/>
  <c r="J807" i="1"/>
  <c r="J808" i="1"/>
  <c r="J811" i="1"/>
  <c r="J819" i="1"/>
  <c r="J823" i="1"/>
  <c r="J835" i="1"/>
  <c r="J843" i="1"/>
  <c r="J846" i="1"/>
  <c r="J847" i="1"/>
  <c r="J863" i="1"/>
  <c r="J864" i="1"/>
  <c r="J865" i="1"/>
  <c r="J867" i="1"/>
  <c r="J870" i="1"/>
  <c r="J875" i="1"/>
  <c r="J878" i="1"/>
  <c r="J879" i="1"/>
  <c r="J883" i="1"/>
  <c r="J894" i="1"/>
  <c r="J895" i="1"/>
  <c r="J896" i="1"/>
  <c r="J907" i="1"/>
  <c r="J911" i="1"/>
  <c r="J926" i="1"/>
  <c r="J927" i="1"/>
  <c r="J928" i="1"/>
  <c r="J939" i="1"/>
  <c r="J943" i="1"/>
  <c r="J944" i="1"/>
  <c r="J950" i="1"/>
  <c r="J958" i="1"/>
  <c r="J959" i="1"/>
  <c r="J960" i="1"/>
  <c r="J963" i="1"/>
  <c r="J974" i="1"/>
  <c r="J975" i="1"/>
  <c r="J977" i="1"/>
  <c r="J979" i="1"/>
  <c r="J982" i="1"/>
  <c r="J987" i="1"/>
  <c r="J990" i="1"/>
  <c r="J991" i="1"/>
  <c r="J992" i="1"/>
  <c r="J5" i="1"/>
  <c r="J13" i="1"/>
  <c r="J53" i="1"/>
  <c r="J61" i="1"/>
  <c r="J69" i="1"/>
  <c r="J93" i="1"/>
  <c r="J117" i="1"/>
  <c r="J125" i="1"/>
  <c r="J133" i="1"/>
  <c r="J149" i="1"/>
  <c r="J157" i="1"/>
  <c r="J173" i="1"/>
  <c r="J176" i="1"/>
  <c r="J181" i="1"/>
  <c r="J189" i="1"/>
  <c r="J197" i="1"/>
  <c r="J205" i="1"/>
  <c r="J221" i="1"/>
  <c r="J237" i="1"/>
  <c r="J245" i="1"/>
  <c r="J253" i="1"/>
  <c r="J261" i="1"/>
  <c r="J269" i="1"/>
  <c r="J277" i="1"/>
  <c r="J285" i="1"/>
  <c r="J293" i="1"/>
  <c r="J301" i="1"/>
  <c r="J309" i="1"/>
  <c r="J317" i="1"/>
  <c r="J325" i="1"/>
  <c r="J333" i="1"/>
  <c r="J341" i="1"/>
  <c r="J357" i="1"/>
  <c r="J360" i="1"/>
  <c r="J365" i="1"/>
  <c r="J373" i="1"/>
  <c r="J381" i="1"/>
  <c r="J389" i="1"/>
  <c r="J397" i="1"/>
  <c r="J413" i="1"/>
  <c r="J416" i="1"/>
  <c r="J429" i="1"/>
  <c r="J445" i="1"/>
  <c r="J461" i="1"/>
  <c r="J477" i="1"/>
  <c r="J493" i="1"/>
  <c r="J509" i="1"/>
  <c r="J517" i="1"/>
  <c r="J533" i="1"/>
  <c r="J549" i="1"/>
  <c r="J557" i="1"/>
  <c r="J565" i="1"/>
  <c r="J573" i="1"/>
  <c r="J584" i="1"/>
  <c r="J589" i="1"/>
  <c r="J597" i="1"/>
  <c r="J613" i="1"/>
  <c r="J637" i="1"/>
  <c r="J645" i="1"/>
  <c r="J648" i="1"/>
  <c r="J653" i="1"/>
  <c r="J661" i="1"/>
  <c r="J677" i="1"/>
  <c r="J701" i="1"/>
  <c r="J717" i="1"/>
  <c r="J719" i="1"/>
  <c r="J733" i="1"/>
  <c r="J765" i="1"/>
  <c r="J797" i="1"/>
  <c r="J821" i="1"/>
  <c r="J829" i="1"/>
  <c r="J832" i="1"/>
  <c r="J837" i="1"/>
  <c r="J845" i="1"/>
  <c r="J861" i="1"/>
  <c r="J869" i="1"/>
  <c r="J877" i="1"/>
  <c r="J880" i="1"/>
  <c r="J885" i="1"/>
  <c r="J901" i="1"/>
  <c r="J909" i="1"/>
  <c r="J917" i="1"/>
  <c r="J941" i="1"/>
  <c r="J949" i="1"/>
  <c r="J965" i="1"/>
  <c r="J973" i="1"/>
  <c r="J981" i="1"/>
  <c r="J7" i="1"/>
  <c r="J15" i="1"/>
  <c r="J31" i="1"/>
  <c r="J119" i="1"/>
  <c r="J263" i="1"/>
  <c r="J319" i="1"/>
  <c r="J327" i="1"/>
  <c r="J343" i="1"/>
  <c r="J727" i="1"/>
  <c r="J735" i="1"/>
  <c r="J824" i="1"/>
  <c r="J247" i="1"/>
  <c r="J575" i="1"/>
  <c r="J615" i="1"/>
  <c r="J4" i="1"/>
  <c r="J38" i="1"/>
  <c r="J46" i="1"/>
  <c r="J54" i="1"/>
  <c r="J70" i="1"/>
  <c r="J222" i="1"/>
  <c r="J254" i="1"/>
  <c r="J278" i="1"/>
  <c r="J286" i="1"/>
  <c r="J294" i="1"/>
  <c r="J318" i="1"/>
  <c r="J382" i="1"/>
  <c r="J390" i="1"/>
  <c r="J406" i="1"/>
  <c r="J430" i="1"/>
  <c r="J446" i="1"/>
  <c r="J494" i="1"/>
  <c r="J550" i="1"/>
  <c r="J558" i="1"/>
  <c r="J566" i="1"/>
  <c r="J614" i="1"/>
  <c r="J638" i="1"/>
  <c r="J654" i="1"/>
  <c r="J686" i="1"/>
  <c r="J694" i="1"/>
  <c r="J710" i="1"/>
  <c r="J822" i="1"/>
  <c r="J830" i="1"/>
  <c r="J838" i="1"/>
  <c r="J854" i="1"/>
  <c r="J541" i="1"/>
  <c r="J581" i="1"/>
  <c r="J605" i="1"/>
  <c r="J669" i="1"/>
  <c r="J706" i="1"/>
  <c r="J709" i="1"/>
  <c r="J738" i="1"/>
  <c r="J741" i="1"/>
  <c r="J773" i="1"/>
  <c r="J805" i="1"/>
  <c r="J814" i="1"/>
  <c r="J820" i="1"/>
  <c r="J828" i="1"/>
  <c r="J836" i="1"/>
  <c r="J844" i="1"/>
  <c r="J852" i="1"/>
  <c r="J860" i="1"/>
  <c r="J868" i="1"/>
  <c r="J876" i="1"/>
  <c r="J884" i="1"/>
  <c r="J892" i="1"/>
  <c r="J900" i="1"/>
  <c r="J908" i="1"/>
  <c r="J916" i="1"/>
  <c r="J924" i="1"/>
  <c r="J932" i="1"/>
  <c r="J940" i="1"/>
  <c r="J948" i="1"/>
  <c r="J956" i="1"/>
  <c r="J964" i="1"/>
  <c r="J972" i="1"/>
  <c r="J980" i="1"/>
  <c r="J988" i="1"/>
  <c r="J99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J2" i="1"/>
  <c r="J10" i="1"/>
  <c r="J12" i="1"/>
  <c r="J18" i="1"/>
  <c r="J19" i="1"/>
  <c r="J20" i="1"/>
  <c r="J21" i="1"/>
  <c r="J26" i="1"/>
  <c r="J28" i="1"/>
  <c r="J29" i="1"/>
  <c r="J34" i="1"/>
  <c r="J35" i="1"/>
  <c r="J36" i="1"/>
  <c r="J37" i="1"/>
  <c r="J42" i="1"/>
  <c r="J44" i="1"/>
  <c r="J45" i="1"/>
  <c r="J50" i="1"/>
  <c r="J52" i="1"/>
  <c r="J58" i="1"/>
  <c r="J59" i="1"/>
  <c r="J60" i="1"/>
  <c r="J66" i="1"/>
  <c r="J67" i="1"/>
  <c r="J68" i="1"/>
  <c r="J74" i="1"/>
  <c r="J76" i="1"/>
  <c r="J77" i="1"/>
  <c r="J82" i="1"/>
  <c r="J83" i="1"/>
  <c r="J84" i="1"/>
  <c r="J85" i="1"/>
  <c r="J90" i="1"/>
  <c r="J92" i="1"/>
  <c r="J94" i="1"/>
  <c r="J98" i="1"/>
  <c r="J99" i="1"/>
  <c r="J100" i="1"/>
  <c r="J101" i="1"/>
  <c r="J102" i="1"/>
  <c r="J106" i="1"/>
  <c r="J108" i="1"/>
  <c r="J109" i="1"/>
  <c r="J110" i="1"/>
  <c r="J114" i="1"/>
  <c r="J116" i="1"/>
  <c r="J122" i="1"/>
  <c r="J124" i="1"/>
  <c r="J126" i="1"/>
  <c r="J130" i="1"/>
  <c r="J131" i="1"/>
  <c r="J132" i="1"/>
  <c r="J138" i="1"/>
  <c r="J140" i="1"/>
  <c r="J141" i="1"/>
  <c r="J146" i="1"/>
  <c r="J148" i="1"/>
  <c r="J150" i="1"/>
  <c r="J154" i="1"/>
  <c r="J155" i="1"/>
  <c r="J156" i="1"/>
  <c r="J162" i="1"/>
  <c r="J164" i="1"/>
  <c r="J165" i="1"/>
  <c r="J166" i="1"/>
  <c r="J170" i="1"/>
  <c r="J172" i="1"/>
  <c r="J178" i="1"/>
  <c r="J180" i="1"/>
  <c r="J182" i="1"/>
  <c r="J186" i="1"/>
  <c r="J188" i="1"/>
  <c r="J194" i="1"/>
  <c r="J196" i="1"/>
  <c r="J202" i="1"/>
  <c r="J203" i="1"/>
  <c r="J204" i="1"/>
  <c r="J210" i="1"/>
  <c r="J212" i="1"/>
  <c r="J213" i="1"/>
  <c r="J218" i="1"/>
  <c r="J220" i="1"/>
  <c r="J226" i="1"/>
  <c r="J228" i="1"/>
  <c r="J229" i="1"/>
  <c r="J234" i="1"/>
  <c r="J235" i="1"/>
  <c r="J236" i="1"/>
  <c r="J242" i="1"/>
  <c r="J243" i="1"/>
  <c r="J244" i="1"/>
  <c r="J250" i="1"/>
  <c r="J251" i="1"/>
  <c r="J252" i="1"/>
  <c r="J258" i="1"/>
  <c r="J260" i="1"/>
  <c r="J266" i="1"/>
  <c r="J268" i="1"/>
  <c r="J274" i="1"/>
  <c r="J275" i="1"/>
  <c r="J276" i="1"/>
  <c r="J282" i="1"/>
  <c r="J284" i="1"/>
  <c r="J290" i="1"/>
  <c r="J292" i="1"/>
  <c r="J298" i="1"/>
  <c r="J299" i="1"/>
  <c r="J300" i="1"/>
  <c r="J306" i="1"/>
  <c r="J307" i="1"/>
  <c r="J308" i="1"/>
  <c r="J314" i="1"/>
  <c r="J315" i="1"/>
  <c r="J316" i="1"/>
  <c r="J322" i="1"/>
  <c r="J323" i="1"/>
  <c r="J324" i="1"/>
  <c r="J330" i="1"/>
  <c r="J332" i="1"/>
  <c r="J338" i="1"/>
  <c r="J339" i="1"/>
  <c r="J340" i="1"/>
  <c r="J346" i="1"/>
  <c r="J348" i="1"/>
  <c r="J349" i="1"/>
  <c r="J354" i="1"/>
  <c r="J356" i="1"/>
  <c r="J362" i="1"/>
  <c r="J363" i="1"/>
  <c r="J364" i="1"/>
  <c r="J370" i="1"/>
  <c r="J371" i="1"/>
  <c r="J372" i="1"/>
  <c r="J378" i="1"/>
  <c r="J379" i="1"/>
  <c r="J380" i="1"/>
  <c r="J386" i="1"/>
  <c r="J388" i="1"/>
  <c r="J394" i="1"/>
  <c r="J395" i="1"/>
  <c r="J396" i="1"/>
  <c r="J402" i="1"/>
  <c r="J404" i="1"/>
  <c r="J405" i="1"/>
  <c r="J410" i="1"/>
  <c r="J411" i="1"/>
  <c r="J412" i="1"/>
  <c r="J418" i="1"/>
  <c r="J420" i="1"/>
  <c r="J421" i="1"/>
  <c r="J426" i="1"/>
  <c r="J428" i="1"/>
  <c r="J434" i="1"/>
  <c r="J436" i="1"/>
  <c r="J437" i="1"/>
  <c r="J442" i="1"/>
  <c r="J444" i="1"/>
  <c r="J450" i="1"/>
  <c r="J451" i="1"/>
  <c r="J452" i="1"/>
  <c r="J453" i="1"/>
  <c r="J458" i="1"/>
  <c r="J460" i="1"/>
  <c r="J466" i="1"/>
  <c r="J467" i="1"/>
  <c r="J468" i="1"/>
  <c r="J469" i="1"/>
  <c r="J474" i="1"/>
  <c r="J476" i="1"/>
  <c r="J482" i="1"/>
  <c r="J484" i="1"/>
  <c r="J485" i="1"/>
  <c r="J490" i="1"/>
  <c r="J491" i="1"/>
  <c r="J492" i="1"/>
  <c r="J498" i="1"/>
  <c r="J500" i="1"/>
  <c r="J501" i="1"/>
  <c r="J502" i="1"/>
  <c r="J506" i="1"/>
  <c r="J508" i="1"/>
  <c r="J514" i="1"/>
  <c r="J515" i="1"/>
  <c r="J516" i="1"/>
  <c r="J522" i="1"/>
  <c r="J524" i="1"/>
  <c r="J525" i="1"/>
  <c r="J526" i="1"/>
  <c r="J530" i="1"/>
  <c r="J531" i="1"/>
  <c r="J532" i="1"/>
  <c r="J538" i="1"/>
  <c r="J539" i="1"/>
  <c r="J540" i="1"/>
  <c r="J542" i="1"/>
  <c r="J546" i="1"/>
  <c r="J548" i="1"/>
  <c r="J554" i="1"/>
  <c r="J555" i="1"/>
  <c r="J556" i="1"/>
  <c r="J562" i="1"/>
  <c r="J564" i="1"/>
  <c r="J570" i="1"/>
  <c r="J572" i="1"/>
  <c r="J578" i="1"/>
  <c r="J580" i="1"/>
  <c r="J586" i="1"/>
  <c r="J588" i="1"/>
  <c r="J594" i="1"/>
  <c r="J596" i="1"/>
  <c r="J602" i="1"/>
  <c r="J603" i="1"/>
  <c r="J604" i="1"/>
  <c r="J606" i="1"/>
  <c r="J610" i="1"/>
  <c r="J611" i="1"/>
  <c r="J612" i="1"/>
  <c r="J618" i="1"/>
  <c r="J620" i="1"/>
  <c r="J621" i="1"/>
  <c r="J626" i="1"/>
  <c r="J627" i="1"/>
  <c r="J628" i="1"/>
  <c r="J629" i="1"/>
  <c r="J634" i="1"/>
  <c r="J636" i="1"/>
  <c r="J642" i="1"/>
  <c r="J643" i="1"/>
  <c r="J644" i="1"/>
  <c r="J650" i="1"/>
  <c r="J652" i="1"/>
  <c r="J658" i="1"/>
  <c r="J660" i="1"/>
  <c r="J666" i="1"/>
  <c r="J667" i="1"/>
  <c r="J668" i="1"/>
  <c r="J674" i="1"/>
  <c r="J676" i="1"/>
  <c r="J682" i="1"/>
  <c r="J684" i="1"/>
  <c r="J685" i="1"/>
  <c r="J690" i="1"/>
  <c r="J692" i="1"/>
  <c r="J693" i="1"/>
  <c r="J698" i="1"/>
  <c r="J700" i="1"/>
  <c r="J707" i="1"/>
  <c r="J708" i="1"/>
  <c r="J714" i="1"/>
  <c r="J716" i="1"/>
  <c r="J722" i="1"/>
  <c r="J724" i="1"/>
  <c r="J725" i="1"/>
  <c r="J730" i="1"/>
  <c r="J731" i="1"/>
  <c r="J732" i="1"/>
  <c r="J740" i="1"/>
  <c r="J746" i="1"/>
  <c r="J748" i="1"/>
  <c r="J749" i="1"/>
  <c r="J756" i="1"/>
  <c r="J757" i="1"/>
  <c r="J762" i="1"/>
  <c r="J764" i="1"/>
  <c r="J772" i="1"/>
  <c r="J780" i="1"/>
  <c r="J781" i="1"/>
  <c r="J787" i="1"/>
  <c r="J788" i="1"/>
  <c r="J789" i="1"/>
  <c r="J794" i="1"/>
  <c r="J796" i="1"/>
  <c r="J803" i="1"/>
  <c r="J804" i="1"/>
  <c r="J812" i="1"/>
  <c r="J813" i="1"/>
  <c r="J818" i="1"/>
  <c r="J826" i="1"/>
  <c r="J827" i="1"/>
  <c r="J851" i="1"/>
  <c r="J853" i="1"/>
  <c r="J858" i="1"/>
  <c r="J859" i="1"/>
  <c r="J891" i="1"/>
  <c r="J893" i="1"/>
  <c r="J898" i="1"/>
  <c r="J915" i="1"/>
  <c r="J923" i="1"/>
  <c r="J925" i="1"/>
  <c r="J930" i="1"/>
  <c r="J933" i="1"/>
  <c r="J947" i="1"/>
  <c r="J955" i="1"/>
  <c r="J957" i="1"/>
  <c r="J962" i="1"/>
  <c r="J970" i="1"/>
  <c r="J971" i="1"/>
  <c r="J989" i="1"/>
  <c r="J995" i="1"/>
  <c r="J997" i="1"/>
</calcChain>
</file>

<file path=xl/sharedStrings.xml><?xml version="1.0" encoding="utf-8"?>
<sst xmlns="http://schemas.openxmlformats.org/spreadsheetml/2006/main" count="2057" uniqueCount="31">
  <si>
    <t>Date</t>
  </si>
  <si>
    <t>Platform</t>
  </si>
  <si>
    <t>Campaign Name</t>
  </si>
  <si>
    <t>Leads Generated</t>
  </si>
  <si>
    <t>Sales Converted</t>
  </si>
  <si>
    <t>YouTube</t>
  </si>
  <si>
    <t>Retargeting Campaign</t>
  </si>
  <si>
    <t>Google Ads</t>
  </si>
  <si>
    <t>Brand Awareness</t>
  </si>
  <si>
    <t>New Product Launch</t>
  </si>
  <si>
    <t>Instagram</t>
  </si>
  <si>
    <t>Lead Generation</t>
  </si>
  <si>
    <t>Facebook</t>
  </si>
  <si>
    <t>WhatsApp</t>
  </si>
  <si>
    <t>Festival Offer</t>
  </si>
  <si>
    <t xml:space="preserve">Ad Spend </t>
  </si>
  <si>
    <t xml:space="preserve">Revenue </t>
  </si>
  <si>
    <t>Grand Total</t>
  </si>
  <si>
    <t xml:space="preserve">Sum of Revenue </t>
  </si>
  <si>
    <t xml:space="preserve">Sum of Ad Spend </t>
  </si>
  <si>
    <t>Sum of Sales Converted</t>
  </si>
  <si>
    <t>Conversion Rate</t>
  </si>
  <si>
    <t>ROI</t>
  </si>
  <si>
    <t>ROI Status</t>
  </si>
  <si>
    <t>Sum of Leads Generated</t>
  </si>
  <si>
    <t>Average of ROI</t>
  </si>
  <si>
    <t>Negative</t>
  </si>
  <si>
    <t>Positive</t>
  </si>
  <si>
    <t>Count of ROI Status</t>
  </si>
  <si>
    <t>Average of Conversion Rate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</si>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</sst>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9" formatCode="&quot;₹&quot;\ 0.00,,&quot;L&quot;"/>
    <numFmt numFmtId="170" formatCode="&quot;₹&quot;\ 0.00,,&quot;Cr&quot;"/>
    <numFmt numFmtId="172" formatCode="0.00&quot;%&quot;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rgb="FFFFFFFF"/>
      <name val="Calibri"/>
      <family val="2"/>
    </font>
    <font>
      <b/>
      <sz val="14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Fill="0" applyBorder="0"/>
    <xf numFmtId="0" fontId="3" fillId="0" borderId="0" applyFill="0" applyBorder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NumberFormat="1"/>
    <xf numFmtId="2" fontId="0" fillId="0" borderId="0" xfId="0" applyNumberFormat="1"/>
    <xf numFmtId="169" fontId="0" fillId="0" borderId="0" xfId="0" applyNumberFormat="1"/>
    <xf numFmtId="170" fontId="0" fillId="0" borderId="0" xfId="0" applyNumberFormat="1"/>
    <xf numFmtId="2" fontId="2" fillId="2" borderId="0" xfId="0" applyNumberFormat="1" applyFont="1" applyFill="1" applyAlignment="1">
      <alignment horizontal="center"/>
    </xf>
    <xf numFmtId="172" fontId="0" fillId="0" borderId="0" xfId="0" applyNumberFormat="1"/>
    <xf numFmtId="0" fontId="3" fillId="0" borderId="0" xfId="0" applyFont="1"/>
  </cellXfs>
  <cellStyles count="3">
    <cellStyle name="Normal" xfId="0" builtinId="0"/>
    <cellStyle name="Style 1" xfId="1" xr:uid="{5E5A5920-A4B0-4DC9-BC0F-FFFE53A7DF64}"/>
    <cellStyle name="Style 2" xfId="2" xr:uid="{CCB39EDE-7811-44A8-A672-C418AD04CCCD}"/>
  </cellStyles>
  <dxfs count="19">
    <dxf>
      <numFmt numFmtId="172" formatCode="0.00&quot;%&quot;"/>
    </dxf>
    <dxf>
      <numFmt numFmtId="170" formatCode="&quot;₹&quot;\ 0.00,,&quot;Cr&quot;"/>
    </dxf>
    <dxf>
      <numFmt numFmtId="169" formatCode="&quot;₹&quot;\ 0.00,,&quot;L&quot;"/>
    </dxf>
    <dxf>
      <numFmt numFmtId="170" formatCode="&quot;₹&quot;\ 0.00,,&quot;Cr&quot;"/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numFmt numFmtId="0" formatCode="General"/>
    </dxf>
    <dxf>
      <numFmt numFmtId="172" formatCode="0.00&quot;%&quot;"/>
    </dxf>
    <dxf>
      <numFmt numFmtId="172" formatCode="0.00&quot;%&quot;"/>
    </dxf>
    <dxf>
      <numFmt numFmtId="172" formatCode="0.00&quot;%&quot;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[Marketing_dataset (1).xlsx]pivot!PivotTable1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Platform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pivot!$A$4:$A$9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WhatsApp</c:v>
                </c:pt>
                <c:pt idx="4">
                  <c:v>YouTube</c:v>
                </c:pt>
              </c:strCache>
            </c:strRef>
          </c:cat>
          <c:val>
            <c:numRef>
              <c:f>pivot!$B$4:$B$9</c:f>
              <c:numCache>
                <c:formatCode>"₹"\ 0.00,,"Cr"</c:formatCode>
                <c:ptCount val="5"/>
                <c:pt idx="0">
                  <c:v>18348276.889999997</c:v>
                </c:pt>
                <c:pt idx="1">
                  <c:v>18868471.179999996</c:v>
                </c:pt>
                <c:pt idx="2">
                  <c:v>20439279.630000014</c:v>
                </c:pt>
                <c:pt idx="3">
                  <c:v>20527096.739999991</c:v>
                </c:pt>
                <c:pt idx="4">
                  <c:v>18668703.200000003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C-46C5-B205-DCAF19A46A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0473935"/>
        <c:axId val="1810820655"/>
      </c:barChart>
      <c:catAx>
        <c:axId val="1780473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Platfrom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20655"/>
        <c:crosses val="autoZero"/>
        <c:auto val="1"/>
        <c:lblAlgn val="ctr"/>
        <c:lblOffset val="100"/>
        <c:noMultiLvlLbl val="0"/>
      </c:catAx>
      <c:valAx>
        <c:axId val="18108206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0.00,,&quot;Cr&quot;" sourceLinked="1"/>
        <c:majorTickMark val="none"/>
        <c:minorTickMark val="none"/>
        <c:tickLblPos val="nextTo"/>
        <c:crossAx val="178047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rgbClr val="002060">
          <a:alpha val="97000"/>
        </a:srgbClr>
      </a:solidFill>
      <a:beve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[Marketing_dataset (1).xlsx]pivot!PivotTable2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 Spend</a:t>
            </a:r>
            <a:r>
              <a:rPr lang="en-IN" baseline="0"/>
              <a:t> vs Revenue by PLatfrom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6666666666666693E-2"/>
              <c:y val="4.31220353600689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2777777777777826E-2"/>
              <c:y val="2.58732212160413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7.2222222222222271E-2"/>
              <c:y val="-3.88098318240621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1111111111111109E-2"/>
              <c:y val="-3.88098318240620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8.333333333333333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6666666666666693E-2"/>
              <c:y val="4.31220353600689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2777777777777826E-2"/>
              <c:y val="2.58732212160413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7.2222222222222271E-2"/>
              <c:y val="-3.88098318240621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1111111111111109E-2"/>
              <c:y val="-3.88098318240620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8.333333333333333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6666666666666693E-2"/>
              <c:y val="4.31220353600689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2777777777777826E-2"/>
              <c:y val="2.58732212160413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7.2222222222222271E-2"/>
              <c:y val="-3.88098318240621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1111111111111109E-2"/>
              <c:y val="-3.88098318240620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8.333333333333333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Sum of Ad Spend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pivot!$D$4:$D$9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WhatsApp</c:v>
                </c:pt>
                <c:pt idx="4">
                  <c:v>YouTube</c:v>
                </c:pt>
              </c:strCache>
            </c:strRef>
          </c:cat>
          <c:val>
            <c:numRef>
              <c:f>pivot!$E$4:$E$9</c:f>
              <c:numCache>
                <c:formatCode>"₹"\ 0.00,,"L"</c:formatCode>
                <c:ptCount val="5"/>
                <c:pt idx="0">
                  <c:v>1635510.2799999996</c:v>
                </c:pt>
                <c:pt idx="1">
                  <c:v>1765294.9799999993</c:v>
                </c:pt>
                <c:pt idx="2">
                  <c:v>1641431.5799999996</c:v>
                </c:pt>
                <c:pt idx="3">
                  <c:v>1588436.6799999992</c:v>
                </c:pt>
                <c:pt idx="4">
                  <c:v>1589582.7000000004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B-49DD-A34A-388807A3B7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4651407"/>
        <c:axId val="1810818255"/>
      </c:barChart>
      <c:lineChart>
        <c:grouping val="standard"/>
        <c:varyColors val="0"/>
        <c:ser>
          <c:idx val="1"/>
          <c:order val="1"/>
          <c:tx>
            <c:strRef>
              <c:f>pivot!$F$3</c:f>
              <c:strCache>
                <c:ptCount val="1"/>
                <c:pt idx="0">
                  <c:v>Sum of Revenue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6666666666666693E-2"/>
                  <c:y val="4.3122035360068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2B-49DD-A34A-388807A3B731}"/>
                </c:ext>
              </c:extLst>
            </c:dLbl>
            <c:dLbl>
              <c:idx val="1"/>
              <c:layout>
                <c:manualLayout>
                  <c:x val="-5.2777777777777826E-2"/>
                  <c:y val="2.58732212160413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2B-49DD-A34A-388807A3B731}"/>
                </c:ext>
              </c:extLst>
            </c:dLbl>
            <c:dLbl>
              <c:idx val="2"/>
              <c:layout>
                <c:manualLayout>
                  <c:x val="-7.2222222222222271E-2"/>
                  <c:y val="-3.88098318240621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2B-49DD-A34A-388807A3B731}"/>
                </c:ext>
              </c:extLst>
            </c:dLbl>
            <c:dLbl>
              <c:idx val="3"/>
              <c:layout>
                <c:manualLayout>
                  <c:x val="-6.1111111111111109E-2"/>
                  <c:y val="-3.88098318240620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2B-49DD-A34A-388807A3B731}"/>
                </c:ext>
              </c:extLst>
            </c:dLbl>
            <c:dLbl>
              <c:idx val="4"/>
              <c:layout>
                <c:manualLayout>
                  <c:x val="-8.3333333333333332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2B-49DD-A34A-388807A3B7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pivot!$D$4:$D$9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WhatsApp</c:v>
                </c:pt>
                <c:pt idx="4">
                  <c:v>YouTube</c:v>
                </c:pt>
              </c:strCache>
            </c:strRef>
          </c:cat>
          <c:val>
            <c:numRef>
              <c:f>pivot!$F$4:$F$9</c:f>
              <c:numCache>
                <c:formatCode>"₹"\ 0.00,,"Cr"</c:formatCode>
                <c:ptCount val="5"/>
                <c:pt idx="0">
                  <c:v>18348276.889999997</c:v>
                </c:pt>
                <c:pt idx="1">
                  <c:v>18868471.179999996</c:v>
                </c:pt>
                <c:pt idx="2">
                  <c:v>20439279.630000014</c:v>
                </c:pt>
                <c:pt idx="3">
                  <c:v>20527096.739999991</c:v>
                </c:pt>
                <c:pt idx="4">
                  <c:v>18668703.200000003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2B-49DD-A34A-388807A3B7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94651407"/>
        <c:axId val="1810818255"/>
      </c:lineChart>
      <c:catAx>
        <c:axId val="1894651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Platfrom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18255"/>
        <c:crosses val="autoZero"/>
        <c:auto val="1"/>
        <c:lblAlgn val="ctr"/>
        <c:lblOffset val="100"/>
        <c:noMultiLvlLbl val="0"/>
      </c:catAx>
      <c:valAx>
        <c:axId val="18108182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0.00,,&quot;L&quot;" sourceLinked="1"/>
        <c:majorTickMark val="none"/>
        <c:minorTickMark val="none"/>
        <c:tickLblPos val="nextTo"/>
        <c:crossAx val="189465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[Marketing_dataset (1).xlsx]pivot!PivotTable5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Lead Generated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800756574605811E-3"/>
              <c:y val="5.62736633301101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112030262984212E-2"/>
              <c:y val="-3.10889750179800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5601513149210859E-3"/>
              <c:y val="-8.1784773325254692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222467138124838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93492987921102E-16"/>
              <c:y val="6.90292183276807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6680453944763179E-2"/>
              <c:y val="1.47377596352686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502068091714477E-2"/>
              <c:y val="1.08346889398647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2240605259684191E-2"/>
              <c:y val="1.21306906329531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2240605259684239E-2"/>
              <c:y val="4.321679600976395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9460529602223709E-2"/>
              <c:y val="1.98955809319517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222467138124838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5601513149210859E-3"/>
              <c:y val="-8.1784773325254692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112030262984212E-2"/>
              <c:y val="-3.10889750179800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800756574605811E-3"/>
              <c:y val="5.62736633301101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93492987921102E-16"/>
              <c:y val="6.90292183276807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9460529602223709E-2"/>
              <c:y val="1.98955809319517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2240605259684239E-2"/>
              <c:y val="4.321679600976395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2240605259684191E-2"/>
              <c:y val="1.21306906329531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502068091714477E-2"/>
              <c:y val="1.08346889398647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6680453944763179E-2"/>
              <c:y val="1.47377596352686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222467138124838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5601513149210859E-3"/>
              <c:y val="-8.1784773325254692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112030262984212E-2"/>
              <c:y val="-3.10889750179800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800756574605811E-3"/>
              <c:y val="5.62736633301101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93492987921102E-16"/>
              <c:y val="6.90292183276807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9460529602223709E-2"/>
              <c:y val="1.98955809319517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2240605259684239E-2"/>
              <c:y val="4.321679600976395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2240605259684191E-2"/>
              <c:y val="1.21306906329531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502068091714477E-2"/>
              <c:y val="1.08346889398647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6680453944763179E-2"/>
              <c:y val="1.47377596352686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pivot!$B$11</c:f>
              <c:strCache>
                <c:ptCount val="1"/>
                <c:pt idx="0">
                  <c:v>Sum of Leads Generated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222467138124838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69-4FA9-8B44-AF8E87429962}"/>
                </c:ext>
              </c:extLst>
            </c:dLbl>
            <c:dLbl>
              <c:idx val="1"/>
              <c:layout>
                <c:manualLayout>
                  <c:x val="5.5601513149210859E-3"/>
                  <c:y val="-8.1784773325254692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69-4FA9-8B44-AF8E87429962}"/>
                </c:ext>
              </c:extLst>
            </c:dLbl>
            <c:dLbl>
              <c:idx val="2"/>
              <c:layout>
                <c:manualLayout>
                  <c:x val="1.112030262984212E-2"/>
                  <c:y val="-3.108897501798009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69-4FA9-8B44-AF8E87429962}"/>
                </c:ext>
              </c:extLst>
            </c:dLbl>
            <c:dLbl>
              <c:idx val="3"/>
              <c:layout>
                <c:manualLayout>
                  <c:x val="-2.7800756574605811E-3"/>
                  <c:y val="5.627366333011012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69-4FA9-8B44-AF8E87429962}"/>
                </c:ext>
              </c:extLst>
            </c:dLbl>
            <c:dLbl>
              <c:idx val="4"/>
              <c:layout>
                <c:manualLayout>
                  <c:x val="-1.0193492987921102E-16"/>
                  <c:y val="6.902921832768073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569-4FA9-8B44-AF8E874299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pivot!$A$12:$A$17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WhatsApp</c:v>
                </c:pt>
                <c:pt idx="4">
                  <c:v>YouTube</c:v>
                </c:pt>
              </c:strCache>
            </c:strRef>
          </c:cat>
          <c:val>
            <c:numRef>
              <c:f>pivot!$B$12:$B$17</c:f>
              <c:numCache>
                <c:formatCode>General</c:formatCode>
                <c:ptCount val="5"/>
                <c:pt idx="0">
                  <c:v>27125</c:v>
                </c:pt>
                <c:pt idx="1">
                  <c:v>26142</c:v>
                </c:pt>
                <c:pt idx="2">
                  <c:v>26912</c:v>
                </c:pt>
                <c:pt idx="3">
                  <c:v>27384</c:v>
                </c:pt>
                <c:pt idx="4">
                  <c:v>27528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69-4FA9-8B44-AF8E87429962}"/>
            </c:ext>
          </c:extLst>
        </c:ser>
        <c:ser>
          <c:idx val="1"/>
          <c:order val="1"/>
          <c:tx>
            <c:strRef>
              <c:f>pivot!$C$11</c:f>
              <c:strCache>
                <c:ptCount val="1"/>
                <c:pt idx="0">
                  <c:v>Sum of Sales Converted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9460529602223709E-2"/>
                  <c:y val="1.98955809319517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569-4FA9-8B44-AF8E87429962}"/>
                </c:ext>
              </c:extLst>
            </c:dLbl>
            <c:dLbl>
              <c:idx val="1"/>
              <c:layout>
                <c:manualLayout>
                  <c:x val="2.2240605259684239E-2"/>
                  <c:y val="4.321679600976395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69-4FA9-8B44-AF8E87429962}"/>
                </c:ext>
              </c:extLst>
            </c:dLbl>
            <c:dLbl>
              <c:idx val="2"/>
              <c:layout>
                <c:manualLayout>
                  <c:x val="2.2240605259684191E-2"/>
                  <c:y val="1.21306906329531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569-4FA9-8B44-AF8E87429962}"/>
                </c:ext>
              </c:extLst>
            </c:dLbl>
            <c:dLbl>
              <c:idx val="3"/>
              <c:layout>
                <c:manualLayout>
                  <c:x val="2.502068091714477E-2"/>
                  <c:y val="1.083468893986479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69-4FA9-8B44-AF8E87429962}"/>
                </c:ext>
              </c:extLst>
            </c:dLbl>
            <c:dLbl>
              <c:idx val="4"/>
              <c:layout>
                <c:manualLayout>
                  <c:x val="1.6680453944763179E-2"/>
                  <c:y val="1.47377596352686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569-4FA9-8B44-AF8E874299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pivot!$A$12:$A$17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WhatsApp</c:v>
                </c:pt>
                <c:pt idx="4">
                  <c:v>YouTube</c:v>
                </c:pt>
              </c:strCache>
            </c:strRef>
          </c:cat>
          <c:val>
            <c:numRef>
              <c:f>pivot!$C$12:$C$17</c:f>
              <c:numCache>
                <c:formatCode>General</c:formatCode>
                <c:ptCount val="5"/>
                <c:pt idx="0">
                  <c:v>5336</c:v>
                </c:pt>
                <c:pt idx="1">
                  <c:v>5635</c:v>
                </c:pt>
                <c:pt idx="2">
                  <c:v>5488</c:v>
                </c:pt>
                <c:pt idx="3">
                  <c:v>5856</c:v>
                </c:pt>
                <c:pt idx="4">
                  <c:v>5268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569-4FA9-8B44-AF8E8742996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7316671"/>
        <c:axId val="1932399311"/>
      </c:barChart>
      <c:catAx>
        <c:axId val="201731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399311"/>
        <c:crosses val="autoZero"/>
        <c:auto val="1"/>
        <c:lblAlgn val="ctr"/>
        <c:lblOffset val="100"/>
        <c:noMultiLvlLbl val="0"/>
      </c:catAx>
      <c:valAx>
        <c:axId val="193239931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Leads Generated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1731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[Marketing_dataset (1).xlsx]pivot!PivotTable8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</a:t>
            </a:r>
            <a:r>
              <a:rPr lang="en-US" baseline="0"/>
              <a:t> Rate by Platform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pivot!$H$4:$H$9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WhatsApp</c:v>
                </c:pt>
                <c:pt idx="4">
                  <c:v>YouTube</c:v>
                </c:pt>
              </c:strCache>
            </c:strRef>
          </c:cat>
          <c:val>
            <c:numRef>
              <c:f>pivot!$I$4:$I$9</c:f>
              <c:numCache>
                <c:formatCode>0.00"%"</c:formatCode>
                <c:ptCount val="5"/>
                <c:pt idx="0">
                  <c:v>20.124177889447235</c:v>
                </c:pt>
                <c:pt idx="1">
                  <c:v>21.625181339712906</c:v>
                </c:pt>
                <c:pt idx="2">
                  <c:v>19.940945226130658</c:v>
                </c:pt>
                <c:pt idx="3">
                  <c:v>21.034676262626263</c:v>
                </c:pt>
                <c:pt idx="4">
                  <c:v>20.317988717948722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4-49DE-86DA-C4EF801B7F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0331983"/>
        <c:axId val="2018638287"/>
      </c:barChart>
      <c:catAx>
        <c:axId val="1990331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638287"/>
        <c:crosses val="autoZero"/>
        <c:auto val="1"/>
        <c:lblAlgn val="ctr"/>
        <c:lblOffset val="100"/>
        <c:noMultiLvlLbl val="0"/>
      </c:catAx>
      <c:valAx>
        <c:axId val="20186382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Conversion</a:t>
                </a:r>
                <a:r>
                  <a:rPr lang="en-IN" baseline="0"/>
                  <a:t> Rate(%)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&quot;%&quot;" sourceLinked="1"/>
        <c:majorTickMark val="none"/>
        <c:minorTickMark val="none"/>
        <c:tickLblPos val="nextTo"/>
        <c:crossAx val="199033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[Marketing_dataset (1).xlsx]pivot!PivotTable6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</a:t>
            </a:r>
            <a:r>
              <a:rPr lang="en-US" baseline="0"/>
              <a:t> by Platform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pivot!$E$12:$E$17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WhatsApp</c:v>
                </c:pt>
                <c:pt idx="4">
                  <c:v>YouTube</c:v>
                </c:pt>
              </c:strCache>
            </c:strRef>
          </c:cat>
          <c:val>
            <c:numRef>
              <c:f>pivot!$F$12:$F$17</c:f>
              <c:numCache>
                <c:formatCode>0.00"%"</c:formatCode>
                <c:ptCount val="5"/>
                <c:pt idx="0">
                  <c:v>15.242095477386933</c:v>
                </c:pt>
                <c:pt idx="1">
                  <c:v>16.781049282296646</c:v>
                </c:pt>
                <c:pt idx="2">
                  <c:v>19.049855276381916</c:v>
                </c:pt>
                <c:pt idx="3">
                  <c:v>17.960254040404038</c:v>
                </c:pt>
                <c:pt idx="4">
                  <c:v>17.247122051282066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E-49D9-ABBA-1D96288E6E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90349151"/>
        <c:axId val="2018558607"/>
      </c:barChart>
      <c:catAx>
        <c:axId val="1990349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558607"/>
        <c:crosses val="autoZero"/>
        <c:auto val="1"/>
        <c:lblAlgn val="ctr"/>
        <c:lblOffset val="100"/>
        <c:noMultiLvlLbl val="0"/>
      </c:catAx>
      <c:valAx>
        <c:axId val="201855860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ROI(%)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out"/>
        <c:minorTickMark val="none"/>
        <c:tickLblPos val="nextTo"/>
        <c:crossAx val="199034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[Marketing_dataset (1).xlsx]pivot!PivotTable7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 Status Distribution</a:t>
            </a:r>
          </a:p>
        </c:rich>
      </c:tx>
      <c:layout>
        <c:manualLayout>
          <c:xMode val="edge"/>
          <c:yMode val="edge"/>
          <c:x val="0.32342528732610476"/>
          <c:y val="1.8974637483574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136968379340999"/>
              <c:y val="1.42309781126809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016049338901316"/>
              <c:y val="-0.113847824901447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016049338901316"/>
              <c:y val="-0.113847824901447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136968379340999"/>
              <c:y val="1.42309781126809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016049338901316"/>
              <c:y val="-0.113847824901447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136968379340999"/>
              <c:y val="1.42309781126809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pivot!$I$11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1B-49FB-9924-C4DA39298DCE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1B-49FB-9924-C4DA39298DCE}"/>
              </c:ext>
            </c:extLst>
          </c:dPt>
          <c:dLbls>
            <c:dLbl>
              <c:idx val="0"/>
              <c:layout>
                <c:manualLayout>
                  <c:x val="-0.10016049338901316"/>
                  <c:y val="-0.113847824901447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1B-49FB-9924-C4DA39298DCE}"/>
                </c:ext>
              </c:extLst>
            </c:dLbl>
            <c:dLbl>
              <c:idx val="1"/>
              <c:layout>
                <c:manualLayout>
                  <c:x val="-0.16136968379340999"/>
                  <c:y val="1.42309781126809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1B-49FB-9924-C4DA39298DC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pivot!$H$12:$H$14</c:f>
              <c:strCache>
                <c:ptCount val="2"/>
                <c:pt idx="0">
                  <c:v>Negative</c:v>
                </c:pt>
                <c:pt idx="1">
                  <c:v>Positive</c:v>
                </c:pt>
              </c:strCache>
            </c:strRef>
          </c:cat>
          <c:val>
            <c:numRef>
              <c:f>pivot!$I$12:$I$14</c:f>
              <c:numCache>
                <c:formatCode>General</c:formatCode>
                <c:ptCount val="2"/>
                <c:pt idx="0">
                  <c:v>62</c:v>
                </c:pt>
                <c:pt idx="1">
                  <c:v>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1B-49FB-9924-C4DA39298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1.xml"/><Relationship Id="rId18" Type="http://schemas.openxmlformats.org/officeDocument/2006/relationships/chart" Target="../charts/chart6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chart" Target="../charts/chart5.xml"/><Relationship Id="rId2" Type="http://schemas.openxmlformats.org/officeDocument/2006/relationships/image" Target="../media/image2.svg"/><Relationship Id="rId16" Type="http://schemas.openxmlformats.org/officeDocument/2006/relationships/chart" Target="../charts/chart4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chart" Target="../charts/chart3.xml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66675</xdr:colOff>
      <xdr:row>2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D312DE2-F425-B646-7FD7-F9C31D2442EA}"/>
            </a:ext>
          </a:extLst>
        </xdr:cNvPr>
        <xdr:cNvSpPr/>
      </xdr:nvSpPr>
      <xdr:spPr>
        <a:xfrm>
          <a:off x="0" y="0"/>
          <a:ext cx="13532839" cy="542394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101073</xdr:rowOff>
    </xdr:from>
    <xdr:to>
      <xdr:col>2</xdr:col>
      <xdr:colOff>606688</xdr:colOff>
      <xdr:row>6</xdr:row>
      <xdr:rowOff>88996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0C8D136-9185-84DF-011E-9DC2B6E5AA10}"/>
            </a:ext>
          </a:extLst>
        </xdr:cNvPr>
        <xdr:cNvSpPr/>
      </xdr:nvSpPr>
      <xdr:spPr>
        <a:xfrm>
          <a:off x="0" y="640224"/>
          <a:ext cx="1828763" cy="527074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7189</xdr:colOff>
      <xdr:row>3</xdr:row>
      <xdr:rowOff>112684</xdr:rowOff>
    </xdr:from>
    <xdr:to>
      <xdr:col>1</xdr:col>
      <xdr:colOff>22429</xdr:colOff>
      <xdr:row>6</xdr:row>
      <xdr:rowOff>95753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950F0E1-5C22-79F5-037A-7CEE39E1059A}"/>
            </a:ext>
          </a:extLst>
        </xdr:cNvPr>
        <xdr:cNvSpPr/>
      </xdr:nvSpPr>
      <xdr:spPr>
        <a:xfrm>
          <a:off x="7189" y="651835"/>
          <a:ext cx="626278" cy="5222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238574</xdr:colOff>
      <xdr:row>3</xdr:row>
      <xdr:rowOff>93170</xdr:rowOff>
    </xdr:from>
    <xdr:to>
      <xdr:col>6</xdr:col>
      <xdr:colOff>218499</xdr:colOff>
      <xdr:row>6</xdr:row>
      <xdr:rowOff>76377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B6BCDC5-8942-D239-6A7B-6BF137F435E9}"/>
            </a:ext>
          </a:extLst>
        </xdr:cNvPr>
        <xdr:cNvSpPr/>
      </xdr:nvSpPr>
      <xdr:spPr>
        <a:xfrm>
          <a:off x="2071687" y="632321"/>
          <a:ext cx="1813038" cy="522358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496791</xdr:colOff>
      <xdr:row>3</xdr:row>
      <xdr:rowOff>94928</xdr:rowOff>
    </xdr:from>
    <xdr:to>
      <xdr:col>9</xdr:col>
      <xdr:colOff>476714</xdr:colOff>
      <xdr:row>6</xdr:row>
      <xdr:rowOff>78135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A77DF75-9C63-92C6-185E-33E207338FB5}"/>
            </a:ext>
          </a:extLst>
        </xdr:cNvPr>
        <xdr:cNvSpPr/>
      </xdr:nvSpPr>
      <xdr:spPr>
        <a:xfrm>
          <a:off x="4163017" y="634079"/>
          <a:ext cx="1813037" cy="522358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165535</xdr:colOff>
      <xdr:row>3</xdr:row>
      <xdr:rowOff>82309</xdr:rowOff>
    </xdr:from>
    <xdr:to>
      <xdr:col>13</xdr:col>
      <xdr:colOff>145458</xdr:colOff>
      <xdr:row>6</xdr:row>
      <xdr:rowOff>65516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23FC43C-D8D5-5ED4-04F9-967C642BF4E4}"/>
            </a:ext>
          </a:extLst>
        </xdr:cNvPr>
        <xdr:cNvSpPr/>
      </xdr:nvSpPr>
      <xdr:spPr>
        <a:xfrm>
          <a:off x="6275912" y="621460"/>
          <a:ext cx="1813037" cy="522358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409875</xdr:colOff>
      <xdr:row>3</xdr:row>
      <xdr:rowOff>76879</xdr:rowOff>
    </xdr:from>
    <xdr:to>
      <xdr:col>16</xdr:col>
      <xdr:colOff>389296</xdr:colOff>
      <xdr:row>6</xdr:row>
      <xdr:rowOff>60086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33D85789-2333-FDEC-6408-A5089200E76A}"/>
            </a:ext>
          </a:extLst>
        </xdr:cNvPr>
        <xdr:cNvSpPr/>
      </xdr:nvSpPr>
      <xdr:spPr>
        <a:xfrm>
          <a:off x="8353366" y="616030"/>
          <a:ext cx="1812534" cy="522358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260231</xdr:colOff>
      <xdr:row>3</xdr:row>
      <xdr:rowOff>92556</xdr:rowOff>
    </xdr:from>
    <xdr:to>
      <xdr:col>4</xdr:col>
      <xdr:colOff>275471</xdr:colOff>
      <xdr:row>6</xdr:row>
      <xdr:rowOff>75625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C12FEEA-554A-66C6-0160-67153EE6F587}"/>
            </a:ext>
          </a:extLst>
        </xdr:cNvPr>
        <xdr:cNvSpPr/>
      </xdr:nvSpPr>
      <xdr:spPr>
        <a:xfrm>
          <a:off x="2093344" y="631707"/>
          <a:ext cx="626278" cy="5222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513273</xdr:colOff>
      <xdr:row>3</xdr:row>
      <xdr:rowOff>93995</xdr:rowOff>
    </xdr:from>
    <xdr:to>
      <xdr:col>7</xdr:col>
      <xdr:colOff>528513</xdr:colOff>
      <xdr:row>6</xdr:row>
      <xdr:rowOff>77064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9C71ED7F-4A8E-81D0-11E8-5B35F513CA68}"/>
            </a:ext>
          </a:extLst>
        </xdr:cNvPr>
        <xdr:cNvSpPr/>
      </xdr:nvSpPr>
      <xdr:spPr>
        <a:xfrm>
          <a:off x="4179499" y="633146"/>
          <a:ext cx="626278" cy="5222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184035</xdr:colOff>
      <xdr:row>3</xdr:row>
      <xdr:rowOff>81055</xdr:rowOff>
    </xdr:from>
    <xdr:to>
      <xdr:col>11</xdr:col>
      <xdr:colOff>199275</xdr:colOff>
      <xdr:row>6</xdr:row>
      <xdr:rowOff>64124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282A08DA-F795-32E8-A08B-B0230183C053}"/>
            </a:ext>
          </a:extLst>
        </xdr:cNvPr>
        <xdr:cNvSpPr/>
      </xdr:nvSpPr>
      <xdr:spPr>
        <a:xfrm>
          <a:off x="6294412" y="620206"/>
          <a:ext cx="626278" cy="5222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422697</xdr:colOff>
      <xdr:row>3</xdr:row>
      <xdr:rowOff>75306</xdr:rowOff>
    </xdr:from>
    <xdr:to>
      <xdr:col>14</xdr:col>
      <xdr:colOff>437938</xdr:colOff>
      <xdr:row>6</xdr:row>
      <xdr:rowOff>58375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FC7B5F9C-EC13-F1F1-7137-7C0351BBFCA2}"/>
            </a:ext>
          </a:extLst>
        </xdr:cNvPr>
        <xdr:cNvSpPr/>
      </xdr:nvSpPr>
      <xdr:spPr>
        <a:xfrm>
          <a:off x="8366188" y="614457"/>
          <a:ext cx="626278" cy="5222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598218</xdr:colOff>
      <xdr:row>3</xdr:row>
      <xdr:rowOff>63939</xdr:rowOff>
    </xdr:from>
    <xdr:to>
      <xdr:col>19</xdr:col>
      <xdr:colOff>577639</xdr:colOff>
      <xdr:row>6</xdr:row>
      <xdr:rowOff>47146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05A7357B-68B1-C7C8-7164-D8BD9D42F6F5}"/>
            </a:ext>
          </a:extLst>
        </xdr:cNvPr>
        <xdr:cNvSpPr/>
      </xdr:nvSpPr>
      <xdr:spPr>
        <a:xfrm>
          <a:off x="10374822" y="603090"/>
          <a:ext cx="1812534" cy="522358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3</xdr:row>
      <xdr:rowOff>71887</xdr:rowOff>
    </xdr:from>
    <xdr:to>
      <xdr:col>18</xdr:col>
      <xdr:colOff>22433</xdr:colOff>
      <xdr:row>6</xdr:row>
      <xdr:rowOff>43132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7B43836D-D0AC-4FC3-686B-4A9333CB799A}"/>
            </a:ext>
          </a:extLst>
        </xdr:cNvPr>
        <xdr:cNvSpPr/>
      </xdr:nvSpPr>
      <xdr:spPr>
        <a:xfrm>
          <a:off x="10387642" y="611038"/>
          <a:ext cx="633470" cy="510396"/>
        </a:xfrm>
        <a:prstGeom prst="roundRect">
          <a:avLst/>
        </a:prstGeom>
        <a:solidFill>
          <a:schemeClr val="accent1"/>
        </a:soli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194095</xdr:colOff>
      <xdr:row>3</xdr:row>
      <xdr:rowOff>57510</xdr:rowOff>
    </xdr:from>
    <xdr:to>
      <xdr:col>2</xdr:col>
      <xdr:colOff>553530</xdr:colOff>
      <xdr:row>4</xdr:row>
      <xdr:rowOff>93453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3D4659E-0A96-C5A4-D34A-A0CA9C7ED69A}"/>
            </a:ext>
          </a:extLst>
        </xdr:cNvPr>
        <xdr:cNvSpPr txBox="1"/>
      </xdr:nvSpPr>
      <xdr:spPr>
        <a:xfrm>
          <a:off x="805133" y="596661"/>
          <a:ext cx="970472" cy="215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0">
              <a:solidFill>
                <a:schemeClr val="tx2"/>
              </a:solidFill>
            </a:rPr>
            <a:t>Renvenue</a:t>
          </a:r>
        </a:p>
      </xdr:txBody>
    </xdr:sp>
    <xdr:clientData/>
  </xdr:twoCellAnchor>
  <xdr:twoCellAnchor>
    <xdr:from>
      <xdr:col>4</xdr:col>
      <xdr:colOff>560719</xdr:colOff>
      <xdr:row>3</xdr:row>
      <xdr:rowOff>86265</xdr:rowOff>
    </xdr:from>
    <xdr:to>
      <xdr:col>5</xdr:col>
      <xdr:colOff>553529</xdr:colOff>
      <xdr:row>4</xdr:row>
      <xdr:rowOff>143774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1E765CF-B4A4-4C08-D810-AC36E0D67443}"/>
            </a:ext>
          </a:extLst>
        </xdr:cNvPr>
        <xdr:cNvSpPr txBox="1"/>
      </xdr:nvSpPr>
      <xdr:spPr>
        <a:xfrm>
          <a:off x="3004870" y="625416"/>
          <a:ext cx="603848" cy="237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>
              <a:solidFill>
                <a:schemeClr val="tx2"/>
              </a:solidFill>
            </a:rPr>
            <a:t>Spend</a:t>
          </a:r>
        </a:p>
      </xdr:txBody>
    </xdr:sp>
    <xdr:clientData/>
  </xdr:twoCellAnchor>
  <xdr:twoCellAnchor>
    <xdr:from>
      <xdr:col>8</xdr:col>
      <xdr:colOff>215660</xdr:colOff>
      <xdr:row>3</xdr:row>
      <xdr:rowOff>93454</xdr:rowOff>
    </xdr:from>
    <xdr:to>
      <xdr:col>9</xdr:col>
      <xdr:colOff>409754</xdr:colOff>
      <xdr:row>4</xdr:row>
      <xdr:rowOff>100642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C8B5A6F-2151-5596-3ABB-E2F5EC762F57}"/>
            </a:ext>
          </a:extLst>
        </xdr:cNvPr>
        <xdr:cNvSpPr txBox="1"/>
      </xdr:nvSpPr>
      <xdr:spPr>
        <a:xfrm>
          <a:off x="5103962" y="632605"/>
          <a:ext cx="805132" cy="186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tx2"/>
              </a:solidFill>
            </a:rPr>
            <a:t>Leads</a:t>
          </a:r>
        </a:p>
      </xdr:txBody>
    </xdr:sp>
    <xdr:clientData/>
  </xdr:twoCellAnchor>
  <xdr:twoCellAnchor>
    <xdr:from>
      <xdr:col>11</xdr:col>
      <xdr:colOff>503208</xdr:colOff>
      <xdr:row>3</xdr:row>
      <xdr:rowOff>57510</xdr:rowOff>
    </xdr:from>
    <xdr:to>
      <xdr:col>12</xdr:col>
      <xdr:colOff>416944</xdr:colOff>
      <xdr:row>4</xdr:row>
      <xdr:rowOff>107831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45C0A7D-FD97-57B1-92B6-58C5022B045A}"/>
            </a:ext>
          </a:extLst>
        </xdr:cNvPr>
        <xdr:cNvSpPr txBox="1"/>
      </xdr:nvSpPr>
      <xdr:spPr>
        <a:xfrm>
          <a:off x="7224623" y="596661"/>
          <a:ext cx="524774" cy="23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>
              <a:solidFill>
                <a:schemeClr val="tx2"/>
              </a:solidFill>
            </a:rPr>
            <a:t>Sales</a:t>
          </a:r>
        </a:p>
      </xdr:txBody>
    </xdr:sp>
    <xdr:clientData/>
  </xdr:twoCellAnchor>
  <xdr:twoCellAnchor>
    <xdr:from>
      <xdr:col>15</xdr:col>
      <xdr:colOff>158152</xdr:colOff>
      <xdr:row>3</xdr:row>
      <xdr:rowOff>50321</xdr:rowOff>
    </xdr:from>
    <xdr:to>
      <xdr:col>15</xdr:col>
      <xdr:colOff>589472</xdr:colOff>
      <xdr:row>4</xdr:row>
      <xdr:rowOff>107830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0F62E7F-2891-BA59-2A9E-DAF99C35FB8B}"/>
            </a:ext>
          </a:extLst>
        </xdr:cNvPr>
        <xdr:cNvSpPr txBox="1"/>
      </xdr:nvSpPr>
      <xdr:spPr>
        <a:xfrm>
          <a:off x="9323718" y="589472"/>
          <a:ext cx="431320" cy="237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>
              <a:solidFill>
                <a:schemeClr val="tx2"/>
              </a:solidFill>
            </a:rPr>
            <a:t>ROI</a:t>
          </a:r>
        </a:p>
      </xdr:txBody>
    </xdr:sp>
    <xdr:clientData/>
  </xdr:twoCellAnchor>
  <xdr:twoCellAnchor>
    <xdr:from>
      <xdr:col>18</xdr:col>
      <xdr:colOff>50320</xdr:colOff>
      <xdr:row>3</xdr:row>
      <xdr:rowOff>50319</xdr:rowOff>
    </xdr:from>
    <xdr:to>
      <xdr:col>20</xdr:col>
      <xdr:colOff>7188</xdr:colOff>
      <xdr:row>4</xdr:row>
      <xdr:rowOff>143773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954583A-0582-3E8A-484F-01AB86ECF679}"/>
            </a:ext>
          </a:extLst>
        </xdr:cNvPr>
        <xdr:cNvSpPr txBox="1"/>
      </xdr:nvSpPr>
      <xdr:spPr>
        <a:xfrm>
          <a:off x="11048999" y="589470"/>
          <a:ext cx="1178944" cy="2731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tx2"/>
              </a:solidFill>
            </a:rPr>
            <a:t>Conversion Rate</a:t>
          </a:r>
        </a:p>
      </xdr:txBody>
    </xdr:sp>
    <xdr:clientData/>
  </xdr:twoCellAnchor>
  <xdr:twoCellAnchor editAs="oneCell">
    <xdr:from>
      <xdr:col>10</xdr:col>
      <xdr:colOff>258793</xdr:colOff>
      <xdr:row>3</xdr:row>
      <xdr:rowOff>84260</xdr:rowOff>
    </xdr:from>
    <xdr:to>
      <xdr:col>11</xdr:col>
      <xdr:colOff>129396</xdr:colOff>
      <xdr:row>6</xdr:row>
      <xdr:rowOff>64782</xdr:rowOff>
    </xdr:to>
    <xdr:pic>
      <xdr:nvPicPr>
        <xdr:cNvPr id="40" name="Graphic 39" descr="Shopping cart with solid fill">
          <a:extLst>
            <a:ext uri="{FF2B5EF4-FFF2-40B4-BE49-F238E27FC236}">
              <a16:creationId xmlns:a16="http://schemas.microsoft.com/office/drawing/2014/main" id="{572DD505-3796-4672-B26F-8943F8279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69170" y="623411"/>
          <a:ext cx="481641" cy="519673"/>
        </a:xfrm>
        <a:prstGeom prst="rect">
          <a:avLst/>
        </a:prstGeom>
      </xdr:spPr>
    </xdr:pic>
    <xdr:clientData/>
  </xdr:twoCellAnchor>
  <xdr:twoCellAnchor editAs="oneCell">
    <xdr:from>
      <xdr:col>17</xdr:col>
      <xdr:colOff>63738</xdr:colOff>
      <xdr:row>3</xdr:row>
      <xdr:rowOff>98212</xdr:rowOff>
    </xdr:from>
    <xdr:to>
      <xdr:col>17</xdr:col>
      <xdr:colOff>510396</xdr:colOff>
      <xdr:row>6</xdr:row>
      <xdr:rowOff>38289</xdr:rowOff>
    </xdr:to>
    <xdr:pic>
      <xdr:nvPicPr>
        <xdr:cNvPr id="41" name="Graphic 40" descr="Bullseye with solid fill">
          <a:extLst>
            <a:ext uri="{FF2B5EF4-FFF2-40B4-BE49-F238E27FC236}">
              <a16:creationId xmlns:a16="http://schemas.microsoft.com/office/drawing/2014/main" id="{DB3A9E72-42A9-4A37-928F-4804FFF4B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451380" y="637363"/>
          <a:ext cx="446658" cy="479228"/>
        </a:xfrm>
        <a:prstGeom prst="rect">
          <a:avLst/>
        </a:prstGeom>
      </xdr:spPr>
    </xdr:pic>
    <xdr:clientData/>
  </xdr:twoCellAnchor>
  <xdr:twoCellAnchor editAs="oneCell">
    <xdr:from>
      <xdr:col>13</xdr:col>
      <xdr:colOff>551604</xdr:colOff>
      <xdr:row>3</xdr:row>
      <xdr:rowOff>99427</xdr:rowOff>
    </xdr:from>
    <xdr:to>
      <xdr:col>14</xdr:col>
      <xdr:colOff>409756</xdr:colOff>
      <xdr:row>6</xdr:row>
      <xdr:rowOff>63678</xdr:rowOff>
    </xdr:to>
    <xdr:pic>
      <xdr:nvPicPr>
        <xdr:cNvPr id="42" name="Graphic 41" descr="Business Growth with solid fill">
          <a:extLst>
            <a:ext uri="{FF2B5EF4-FFF2-40B4-BE49-F238E27FC236}">
              <a16:creationId xmlns:a16="http://schemas.microsoft.com/office/drawing/2014/main" id="{0A36D2CB-B079-45CF-B6F8-1F17903FD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495095" y="638578"/>
          <a:ext cx="469189" cy="503402"/>
        </a:xfrm>
        <a:prstGeom prst="rect">
          <a:avLst/>
        </a:prstGeom>
      </xdr:spPr>
    </xdr:pic>
    <xdr:clientData/>
  </xdr:twoCellAnchor>
  <xdr:twoCellAnchor editAs="oneCell">
    <xdr:from>
      <xdr:col>6</xdr:col>
      <xdr:colOff>572208</xdr:colOff>
      <xdr:row>3</xdr:row>
      <xdr:rowOff>115020</xdr:rowOff>
    </xdr:from>
    <xdr:to>
      <xdr:col>7</xdr:col>
      <xdr:colOff>431321</xdr:colOff>
      <xdr:row>6</xdr:row>
      <xdr:rowOff>78672</xdr:rowOff>
    </xdr:to>
    <xdr:pic>
      <xdr:nvPicPr>
        <xdr:cNvPr id="43" name="Graphic 42" descr="Children with solid fill">
          <a:extLst>
            <a:ext uri="{FF2B5EF4-FFF2-40B4-BE49-F238E27FC236}">
              <a16:creationId xmlns:a16="http://schemas.microsoft.com/office/drawing/2014/main" id="{D54BFC48-C45E-497A-A263-524BF7085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38434" y="654171"/>
          <a:ext cx="470151" cy="502803"/>
        </a:xfrm>
        <a:prstGeom prst="rect">
          <a:avLst/>
        </a:prstGeom>
      </xdr:spPr>
    </xdr:pic>
    <xdr:clientData/>
  </xdr:twoCellAnchor>
  <xdr:twoCellAnchor editAs="oneCell">
    <xdr:from>
      <xdr:col>0</xdr:col>
      <xdr:colOff>79075</xdr:colOff>
      <xdr:row>3</xdr:row>
      <xdr:rowOff>122209</xdr:rowOff>
    </xdr:from>
    <xdr:to>
      <xdr:col>0</xdr:col>
      <xdr:colOff>539151</xdr:colOff>
      <xdr:row>6</xdr:row>
      <xdr:rowOff>43134</xdr:rowOff>
    </xdr:to>
    <xdr:pic>
      <xdr:nvPicPr>
        <xdr:cNvPr id="45" name="Graphic 44" descr="Money with solid fill">
          <a:extLst>
            <a:ext uri="{FF2B5EF4-FFF2-40B4-BE49-F238E27FC236}">
              <a16:creationId xmlns:a16="http://schemas.microsoft.com/office/drawing/2014/main" id="{88E1FF47-E409-286D-438A-B1FA35ADE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9075" y="661360"/>
          <a:ext cx="460076" cy="460076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329716</xdr:colOff>
      <xdr:row>3</xdr:row>
      <xdr:rowOff>135624</xdr:rowOff>
    </xdr:from>
    <xdr:to>
      <xdr:col>4</xdr:col>
      <xdr:colOff>165339</xdr:colOff>
      <xdr:row>6</xdr:row>
      <xdr:rowOff>43134</xdr:rowOff>
    </xdr:to>
    <xdr:pic>
      <xdr:nvPicPr>
        <xdr:cNvPr id="47" name="Graphic 46" descr="Coins with solid fill">
          <a:extLst>
            <a:ext uri="{FF2B5EF4-FFF2-40B4-BE49-F238E27FC236}">
              <a16:creationId xmlns:a16="http://schemas.microsoft.com/office/drawing/2014/main" id="{2AF3F1E8-ABED-3768-E4B1-315E26185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162829" y="674775"/>
          <a:ext cx="446661" cy="446661"/>
        </a:xfrm>
        <a:prstGeom prst="rect">
          <a:avLst/>
        </a:prstGeom>
      </xdr:spPr>
    </xdr:pic>
    <xdr:clientData/>
  </xdr:twoCellAnchor>
  <xdr:twoCellAnchor>
    <xdr:from>
      <xdr:col>1</xdr:col>
      <xdr:colOff>100641</xdr:colOff>
      <xdr:row>4</xdr:row>
      <xdr:rowOff>107829</xdr:rowOff>
    </xdr:from>
    <xdr:to>
      <xdr:col>2</xdr:col>
      <xdr:colOff>409755</xdr:colOff>
      <xdr:row>5</xdr:row>
      <xdr:rowOff>150961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3F642AC-1F3D-7E36-019E-A4B2874E97EA}"/>
            </a:ext>
          </a:extLst>
        </xdr:cNvPr>
        <xdr:cNvSpPr txBox="1"/>
      </xdr:nvSpPr>
      <xdr:spPr>
        <a:xfrm>
          <a:off x="711679" y="826697"/>
          <a:ext cx="920151" cy="222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₹ 96.85Cr</a:t>
          </a:r>
          <a:r>
            <a:rPr lang="en-IN" sz="1400" b="1">
              <a:solidFill>
                <a:schemeClr val="tx2">
                  <a:lumMod val="75000"/>
                </a:schemeClr>
              </a:solidFill>
              <a:effectLst/>
            </a:rPr>
            <a:t> </a:t>
          </a:r>
          <a:endParaRPr lang="en-IN" sz="14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467264</xdr:colOff>
      <xdr:row>4</xdr:row>
      <xdr:rowOff>129395</xdr:rowOff>
    </xdr:from>
    <xdr:to>
      <xdr:col>6</xdr:col>
      <xdr:colOff>64699</xdr:colOff>
      <xdr:row>6</xdr:row>
      <xdr:rowOff>7188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264250B-2721-552E-7E0A-F7DD8CBD696A}"/>
            </a:ext>
          </a:extLst>
        </xdr:cNvPr>
        <xdr:cNvSpPr txBox="1"/>
      </xdr:nvSpPr>
      <xdr:spPr>
        <a:xfrm>
          <a:off x="2911415" y="848263"/>
          <a:ext cx="819510" cy="237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₹ 8.22L</a:t>
          </a:r>
          <a:r>
            <a:rPr lang="en-IN" sz="1400" b="1">
              <a:solidFill>
                <a:schemeClr val="tx2">
                  <a:lumMod val="75000"/>
                </a:schemeClr>
              </a:solidFill>
              <a:effectLst/>
            </a:rPr>
            <a:t> </a:t>
          </a:r>
          <a:endParaRPr lang="en-IN" sz="14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8</xdr:col>
      <xdr:colOff>129396</xdr:colOff>
      <xdr:row>4</xdr:row>
      <xdr:rowOff>115018</xdr:rowOff>
    </xdr:from>
    <xdr:to>
      <xdr:col>9</xdr:col>
      <xdr:colOff>488830</xdr:colOff>
      <xdr:row>6</xdr:row>
      <xdr:rowOff>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F09A30A-DC43-8B46-05BE-8F2FFBAB96F0}"/>
            </a:ext>
          </a:extLst>
        </xdr:cNvPr>
        <xdr:cNvSpPr txBox="1"/>
      </xdr:nvSpPr>
      <xdr:spPr>
        <a:xfrm>
          <a:off x="5017698" y="833886"/>
          <a:ext cx="970472" cy="244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135091</a:t>
          </a:r>
          <a:r>
            <a:rPr lang="en-IN" sz="1400">
              <a:solidFill>
                <a:schemeClr val="tx2">
                  <a:lumMod val="75000"/>
                </a:schemeClr>
              </a:solidFill>
              <a:effectLst/>
            </a:rPr>
            <a:t> </a:t>
          </a:r>
          <a:endParaRPr lang="en-IN" sz="14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18</xdr:col>
      <xdr:colOff>273171</xdr:colOff>
      <xdr:row>4</xdr:row>
      <xdr:rowOff>86265</xdr:rowOff>
    </xdr:from>
    <xdr:to>
      <xdr:col>19</xdr:col>
      <xdr:colOff>589472</xdr:colOff>
      <xdr:row>5</xdr:row>
      <xdr:rowOff>143774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56157DA-04E4-7CDB-8105-D06D7323FD99}"/>
            </a:ext>
          </a:extLst>
        </xdr:cNvPr>
        <xdr:cNvSpPr txBox="1"/>
      </xdr:nvSpPr>
      <xdr:spPr>
        <a:xfrm>
          <a:off x="11271850" y="805133"/>
          <a:ext cx="927339" cy="237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20.62%</a:t>
          </a:r>
          <a:r>
            <a:rPr lang="en-IN" sz="1400" b="1">
              <a:solidFill>
                <a:schemeClr val="tx2">
                  <a:lumMod val="75000"/>
                </a:schemeClr>
              </a:solidFill>
              <a:effectLst/>
            </a:rPr>
            <a:t> </a:t>
          </a:r>
          <a:endParaRPr lang="en-IN" sz="14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14</xdr:col>
      <xdr:colOff>531962</xdr:colOff>
      <xdr:row>4</xdr:row>
      <xdr:rowOff>86263</xdr:rowOff>
    </xdr:from>
    <xdr:to>
      <xdr:col>16</xdr:col>
      <xdr:colOff>287546</xdr:colOff>
      <xdr:row>5</xdr:row>
      <xdr:rowOff>172527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E9ED28B-B98E-323B-ED1C-6EE041B4CD86}"/>
            </a:ext>
          </a:extLst>
        </xdr:cNvPr>
        <xdr:cNvSpPr txBox="1"/>
      </xdr:nvSpPr>
      <xdr:spPr>
        <a:xfrm>
          <a:off x="9086490" y="805131"/>
          <a:ext cx="977660" cy="265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 17.25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11</xdr:col>
      <xdr:colOff>323490</xdr:colOff>
      <xdr:row>4</xdr:row>
      <xdr:rowOff>122207</xdr:rowOff>
    </xdr:from>
    <xdr:to>
      <xdr:col>13</xdr:col>
      <xdr:colOff>14376</xdr:colOff>
      <xdr:row>6</xdr:row>
      <xdr:rowOff>14377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27A9B03-A85B-BB8F-819D-FDB5F4E669A6}"/>
            </a:ext>
          </a:extLst>
        </xdr:cNvPr>
        <xdr:cNvSpPr txBox="1"/>
      </xdr:nvSpPr>
      <xdr:spPr>
        <a:xfrm>
          <a:off x="7044905" y="841075"/>
          <a:ext cx="912962" cy="2516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0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  27583</a:t>
          </a:r>
          <a:r>
            <a:rPr lang="en-IN" sz="1200">
              <a:effectLst/>
            </a:rPr>
            <a:t> </a:t>
          </a:r>
          <a:endParaRPr lang="en-IN" sz="12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7</xdr:row>
      <xdr:rowOff>33495</xdr:rowOff>
    </xdr:from>
    <xdr:to>
      <xdr:col>7</xdr:col>
      <xdr:colOff>298079</xdr:colOff>
      <xdr:row>21</xdr:row>
      <xdr:rowOff>161537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FF0F4B30-E28D-41AF-8F9B-F886FC433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435743</xdr:colOff>
      <xdr:row>7</xdr:row>
      <xdr:rowOff>32344</xdr:rowOff>
    </xdr:from>
    <xdr:to>
      <xdr:col>14</xdr:col>
      <xdr:colOff>477611</xdr:colOff>
      <xdr:row>21</xdr:row>
      <xdr:rowOff>132827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6B3D075A-F3AF-4A0E-A117-E3A597341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16748</xdr:colOff>
      <xdr:row>22</xdr:row>
      <xdr:rowOff>37612</xdr:rowOff>
    </xdr:from>
    <xdr:to>
      <xdr:col>7</xdr:col>
      <xdr:colOff>219076</xdr:colOff>
      <xdr:row>24</xdr:row>
      <xdr:rowOff>107742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266EA52-98DC-F1E8-2892-2E7583A61479}"/>
            </a:ext>
          </a:extLst>
        </xdr:cNvPr>
        <xdr:cNvSpPr txBox="1"/>
      </xdr:nvSpPr>
      <xdr:spPr>
        <a:xfrm>
          <a:off x="16748" y="4197382"/>
          <a:ext cx="4487017" cy="4448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i="1"/>
            <a:t>           Instagram generated the highest revenue among all platforms</a:t>
          </a:r>
          <a:endParaRPr lang="en-IN" sz="1200"/>
        </a:p>
        <a:p>
          <a:endParaRPr lang="en-IN" sz="1100"/>
        </a:p>
      </xdr:txBody>
    </xdr:sp>
    <xdr:clientData/>
  </xdr:twoCellAnchor>
  <xdr:twoCellAnchor>
    <xdr:from>
      <xdr:col>7</xdr:col>
      <xdr:colOff>468086</xdr:colOff>
      <xdr:row>22</xdr:row>
      <xdr:rowOff>12768</xdr:rowOff>
    </xdr:from>
    <xdr:to>
      <xdr:col>14</xdr:col>
      <xdr:colOff>466725</xdr:colOff>
      <xdr:row>24</xdr:row>
      <xdr:rowOff>101633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CC7A189-38D7-D83B-E00D-F045BC3876E5}"/>
            </a:ext>
          </a:extLst>
        </xdr:cNvPr>
        <xdr:cNvSpPr txBox="1"/>
      </xdr:nvSpPr>
      <xdr:spPr>
        <a:xfrm>
          <a:off x="4735286" y="4041843"/>
          <a:ext cx="4265839" cy="4508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i="1"/>
            <a:t>Revenue exceeds ad spend across most platforms, indicating effective campaigns</a:t>
          </a:r>
          <a:endParaRPr lang="en-IN" sz="1200"/>
        </a:p>
        <a:p>
          <a:endParaRPr lang="en-IN" sz="1100"/>
        </a:p>
      </xdr:txBody>
    </xdr:sp>
    <xdr:clientData/>
  </xdr:twoCellAnchor>
  <xdr:twoCellAnchor>
    <xdr:from>
      <xdr:col>15</xdr:col>
      <xdr:colOff>57149</xdr:colOff>
      <xdr:row>7</xdr:row>
      <xdr:rowOff>1</xdr:rowOff>
    </xdr:from>
    <xdr:to>
      <xdr:col>22</xdr:col>
      <xdr:colOff>28574</xdr:colOff>
      <xdr:row>21</xdr:row>
      <xdr:rowOff>104776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21BF06BD-7C8C-4B1B-AE81-89A579764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132726</xdr:colOff>
      <xdr:row>22</xdr:row>
      <xdr:rowOff>5465</xdr:rowOff>
    </xdr:from>
    <xdr:to>
      <xdr:col>21</xdr:col>
      <xdr:colOff>608976</xdr:colOff>
      <xdr:row>24</xdr:row>
      <xdr:rowOff>88067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DA9AF55-8925-C311-B0DC-7F3D56AE39CF}"/>
            </a:ext>
          </a:extLst>
        </xdr:cNvPr>
        <xdr:cNvSpPr txBox="1"/>
      </xdr:nvSpPr>
      <xdr:spPr>
        <a:xfrm>
          <a:off x="9314201" y="4165235"/>
          <a:ext cx="4148841" cy="4573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            Google Ads generated the highest number of leads</a:t>
          </a:r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7</xdr:col>
      <xdr:colOff>287311</xdr:colOff>
      <xdr:row>39</xdr:row>
      <xdr:rowOff>85530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3C9A4417-471A-49E4-8313-997F26120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87443</xdr:colOff>
      <xdr:row>39</xdr:row>
      <xdr:rowOff>174886</xdr:rowOff>
    </xdr:from>
    <xdr:to>
      <xdr:col>7</xdr:col>
      <xdr:colOff>262327</xdr:colOff>
      <xdr:row>42</xdr:row>
      <xdr:rowOff>49968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473CE4F-F551-43B8-A5BC-1E8C1E2F2474}"/>
            </a:ext>
          </a:extLst>
        </xdr:cNvPr>
        <xdr:cNvSpPr txBox="1"/>
      </xdr:nvSpPr>
      <xdr:spPr>
        <a:xfrm>
          <a:off x="87443" y="7520066"/>
          <a:ext cx="4459573" cy="4372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i="1"/>
            <a:t>               Facebook achieved the highest conversion efficiency</a:t>
          </a:r>
          <a:endParaRPr lang="en-IN" sz="1200"/>
        </a:p>
        <a:p>
          <a:endParaRPr lang="en-IN" sz="1100"/>
        </a:p>
      </xdr:txBody>
    </xdr:sp>
    <xdr:clientData/>
  </xdr:twoCellAnchor>
  <xdr:twoCellAnchor>
    <xdr:from>
      <xdr:col>7</xdr:col>
      <xdr:colOff>449703</xdr:colOff>
      <xdr:row>25</xdr:row>
      <xdr:rowOff>0</xdr:rowOff>
    </xdr:from>
    <xdr:to>
      <xdr:col>14</xdr:col>
      <xdr:colOff>537146</xdr:colOff>
      <xdr:row>39</xdr:row>
      <xdr:rowOff>112427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2808766D-7238-4D97-8C68-BEC6CBFC4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524656</xdr:colOff>
      <xdr:row>39</xdr:row>
      <xdr:rowOff>187376</xdr:rowOff>
    </xdr:from>
    <xdr:to>
      <xdr:col>14</xdr:col>
      <xdr:colOff>487181</xdr:colOff>
      <xdr:row>42</xdr:row>
      <xdr:rowOff>62458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EEB0779-BBA5-E12F-2888-E836181CD4BB}"/>
            </a:ext>
          </a:extLst>
        </xdr:cNvPr>
        <xdr:cNvSpPr txBox="1"/>
      </xdr:nvSpPr>
      <xdr:spPr>
        <a:xfrm>
          <a:off x="4809345" y="7532556"/>
          <a:ext cx="4247213" cy="4372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         Instagram delivered the highest return on investment</a:t>
          </a:r>
        </a:p>
      </xdr:txBody>
    </xdr:sp>
    <xdr:clientData/>
  </xdr:twoCellAnchor>
  <xdr:twoCellAnchor>
    <xdr:from>
      <xdr:col>15</xdr:col>
      <xdr:colOff>62460</xdr:colOff>
      <xdr:row>25</xdr:row>
      <xdr:rowOff>0</xdr:rowOff>
    </xdr:from>
    <xdr:to>
      <xdr:col>22</xdr:col>
      <xdr:colOff>99935</xdr:colOff>
      <xdr:row>39</xdr:row>
      <xdr:rowOff>99935</xdr:rowOff>
    </xdr:to>
    <xdr:graphicFrame macro="">
      <xdr:nvGraphicFramePr>
        <xdr:cNvPr id="3072" name="Chart 3071">
          <a:extLst>
            <a:ext uri="{FF2B5EF4-FFF2-40B4-BE49-F238E27FC236}">
              <a16:creationId xmlns:a16="http://schemas.microsoft.com/office/drawing/2014/main" id="{1A72CFC6-828D-46AE-A263-34B410582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162394</xdr:colOff>
      <xdr:row>39</xdr:row>
      <xdr:rowOff>162394</xdr:rowOff>
    </xdr:from>
    <xdr:to>
      <xdr:col>22</xdr:col>
      <xdr:colOff>24984</xdr:colOff>
      <xdr:row>42</xdr:row>
      <xdr:rowOff>62459</xdr:rowOff>
    </xdr:to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A4203227-D165-6ED9-B8CA-C217E72EC8DE}"/>
            </a:ext>
          </a:extLst>
        </xdr:cNvPr>
        <xdr:cNvSpPr txBox="1"/>
      </xdr:nvSpPr>
      <xdr:spPr>
        <a:xfrm>
          <a:off x="9343869" y="7507574"/>
          <a:ext cx="4147279" cy="4621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                  Most campaigns achieved a positive ROI</a:t>
          </a:r>
        </a:p>
      </xdr:txBody>
    </xdr:sp>
    <xdr:clientData/>
  </xdr:twoCellAnchor>
  <xdr:twoCellAnchor>
    <xdr:from>
      <xdr:col>3</xdr:col>
      <xdr:colOff>0</xdr:colOff>
      <xdr:row>0</xdr:row>
      <xdr:rowOff>12493</xdr:rowOff>
    </xdr:from>
    <xdr:to>
      <xdr:col>20</xdr:col>
      <xdr:colOff>187377</xdr:colOff>
      <xdr:row>2</xdr:row>
      <xdr:rowOff>149903</xdr:rowOff>
    </xdr:to>
    <xdr:sp macro="" textlink="">
      <xdr:nvSpPr>
        <xdr:cNvPr id="3078" name="TextBox 3077">
          <a:extLst>
            <a:ext uri="{FF2B5EF4-FFF2-40B4-BE49-F238E27FC236}">
              <a16:creationId xmlns:a16="http://schemas.microsoft.com/office/drawing/2014/main" id="{25F8FF00-4B17-C84D-AC63-DB09AFD07F9B}"/>
            </a:ext>
          </a:extLst>
        </xdr:cNvPr>
        <xdr:cNvSpPr txBox="1"/>
      </xdr:nvSpPr>
      <xdr:spPr>
        <a:xfrm>
          <a:off x="1836295" y="12493"/>
          <a:ext cx="10593049" cy="512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>
              <a:solidFill>
                <a:schemeClr val="bg1"/>
              </a:solidFill>
            </a:rPr>
            <a:t>                  Digital Advertising Performance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 T N" refreshedDate="46203.820477546295" createdVersion="8" refreshedVersion="8" minRefreshableVersion="3" recordCount="1000" xr:uid="{C390356D-4565-4097-B9B3-AF17E8A54899}">
  <cacheSource type="worksheet">
    <worksheetSource ref="A1:G1001" sheet="Marketing_Campaign_Data"/>
  </cacheSource>
  <cacheFields count="7">
    <cacheField name="Date" numFmtId="164">
      <sharedItems containsSemiMixedTypes="0" containsNonDate="0" containsDate="1" containsString="0" minDate="2025-01-01T00:00:00" maxDate="2026-01-01T00:00:00"/>
    </cacheField>
    <cacheField name="Platform" numFmtId="0">
      <sharedItems count="5">
        <s v="YouTube"/>
        <s v="Google Ads"/>
        <s v="Instagram"/>
        <s v="Facebook"/>
        <s v="WhatsApp"/>
      </sharedItems>
    </cacheField>
    <cacheField name="Campaign Name" numFmtId="0">
      <sharedItems count="5">
        <s v="Retargeting Campaign"/>
        <s v="Brand Awareness"/>
        <s v="New Product Launch"/>
        <s v="Lead Generation"/>
        <s v="Festival Offer"/>
      </sharedItems>
    </cacheField>
    <cacheField name="Ad Spend " numFmtId="0">
      <sharedItems containsSemiMixedTypes="0" containsString="0" containsNumber="1" minValue="0" maxValue="14993.89"/>
    </cacheField>
    <cacheField name="Leads Generated" numFmtId="0">
      <sharedItems containsSemiMixedTypes="0" containsString="0" containsNumber="1" containsInteger="1" minValue="20" maxValue="250"/>
    </cacheField>
    <cacheField name="Sales Converted" numFmtId="0">
      <sharedItems containsSemiMixedTypes="0" containsString="0" containsNumber="1" containsInteger="1" minValue="1" maxValue="97"/>
    </cacheField>
    <cacheField name="Revenue " numFmtId="0">
      <sharedItems containsSemiMixedTypes="0" containsString="0" containsNumber="1" minValue="1246.29" maxValue="473920.85"/>
    </cacheField>
  </cacheFields>
  <extLst>
    <ext xmlns:x14="http://schemas.microsoft.com/office/spreadsheetml/2009/9/main" uri="{725AE2AE-9491-48be-B2B4-4EB974FC3084}">
      <x14:pivotCacheDefinition pivotCacheId="182149801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 T N" refreshedDate="46205.653614583331" createdVersion="8" refreshedVersion="8" minRefreshableVersion="3" recordCount="1000" xr:uid="{EDE0E1D2-8B28-440F-8940-68D490069DAD}">
  <cacheSource type="worksheet">
    <worksheetSource name="Table1"/>
  </cacheSource>
  <cacheFields count="10">
    <cacheField name="Date" numFmtId="164">
      <sharedItems containsSemiMixedTypes="0" containsNonDate="0" containsDate="1" containsString="0" minDate="2025-01-01T00:00:00" maxDate="2026-01-01T00:00:00"/>
    </cacheField>
    <cacheField name="Platform" numFmtId="0">
      <sharedItems count="5">
        <s v="YouTube"/>
        <s v="Google Ads"/>
        <s v="Instagram"/>
        <s v="Facebook"/>
        <s v="WhatsApp"/>
      </sharedItems>
    </cacheField>
    <cacheField name="Campaign Name" numFmtId="0">
      <sharedItems/>
    </cacheField>
    <cacheField name="Ad Spend " numFmtId="0">
      <sharedItems containsSemiMixedTypes="0" containsString="0" containsNumber="1" minValue="1002.19" maxValue="14993.89"/>
    </cacheField>
    <cacheField name="Leads Generated" numFmtId="0">
      <sharedItems containsSemiMixedTypes="0" containsString="0" containsNumber="1" containsInteger="1" minValue="20" maxValue="250"/>
    </cacheField>
    <cacheField name="Sales Converted" numFmtId="0">
      <sharedItems containsSemiMixedTypes="0" containsString="0" containsNumber="1" containsInteger="1" minValue="1" maxValue="97"/>
    </cacheField>
    <cacheField name="Revenue " numFmtId="0">
      <sharedItems containsSemiMixedTypes="0" containsString="0" containsNumber="1" minValue="1246.29" maxValue="473920.85"/>
    </cacheField>
    <cacheField name="Conversion Rate" numFmtId="2">
      <sharedItems containsSemiMixedTypes="0" containsString="0" containsNumber="1" minValue="0.42020000000000002" maxValue="40"/>
    </cacheField>
    <cacheField name="ROI" numFmtId="0">
      <sharedItems containsSemiMixedTypes="0" containsString="0" containsNumber="1" minValue="-88.398553047300695" maxValue="32565.782592106614"/>
    </cacheField>
    <cacheField name="ROI Status" numFmtId="0">
      <sharedItems/>
    </cacheField>
  </cacheFields>
  <extLst>
    <ext xmlns:x14="http://schemas.microsoft.com/office/spreadsheetml/2009/9/main" uri="{725AE2AE-9491-48be-B2B4-4EB974FC3084}">
      <x14:pivotCacheDefinition pivotCacheId="320113010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 T N" refreshedDate="46205.664539930556" createdVersion="8" refreshedVersion="8" minRefreshableVersion="3" recordCount="1000" xr:uid="{8878CA49-539B-462A-B80D-940767485802}">
  <cacheSource type="worksheet">
    <worksheetSource ref="A1:J1001" sheet="Marketing_Campaign_Data"/>
  </cacheSource>
  <cacheFields count="10">
    <cacheField name="Date" numFmtId="164">
      <sharedItems containsSemiMixedTypes="0" containsNonDate="0" containsDate="1" containsString="0" minDate="2025-01-01T00:00:00" maxDate="2026-01-01T00:00:00"/>
    </cacheField>
    <cacheField name="Platform" numFmtId="0">
      <sharedItems count="5">
        <s v="YouTube"/>
        <s v="Google Ads"/>
        <s v="Instagram"/>
        <s v="Facebook"/>
        <s v="WhatsApp"/>
      </sharedItems>
    </cacheField>
    <cacheField name="Campaign Name" numFmtId="0">
      <sharedItems/>
    </cacheField>
    <cacheField name="Ad Spend " numFmtId="0">
      <sharedItems containsSemiMixedTypes="0" containsString="0" containsNumber="1" minValue="1002.19" maxValue="14993.89"/>
    </cacheField>
    <cacheField name="Leads Generated" numFmtId="0">
      <sharedItems containsSemiMixedTypes="0" containsString="0" containsNumber="1" containsInteger="1" minValue="20" maxValue="250"/>
    </cacheField>
    <cacheField name="Sales Converted" numFmtId="0">
      <sharedItems containsSemiMixedTypes="0" containsString="0" containsNumber="1" containsInteger="1" minValue="1" maxValue="97"/>
    </cacheField>
    <cacheField name="Revenue " numFmtId="0">
      <sharedItems containsSemiMixedTypes="0" containsString="0" containsNumber="1" minValue="1246.29" maxValue="473920.85"/>
    </cacheField>
    <cacheField name="Conversion Rate" numFmtId="2">
      <sharedItems containsSemiMixedTypes="0" containsString="0" containsNumber="1" minValue="0.42020000000000002" maxValue="40"/>
    </cacheField>
    <cacheField name="ROI" numFmtId="0">
      <sharedItems containsSemiMixedTypes="0" containsString="0" containsNumber="1" minValue="-0.88400000000000001" maxValue="325.65780000000001"/>
    </cacheField>
    <cacheField name="ROI Status" numFmtId="0">
      <sharedItems count="2">
        <s v="Positive"/>
        <s v="Negative"/>
      </sharedItems>
    </cacheField>
  </cacheFields>
  <extLst>
    <ext xmlns:x14="http://schemas.microsoft.com/office/spreadsheetml/2009/9/main" uri="{725AE2AE-9491-48be-B2B4-4EB974FC3084}">
      <x14:pivotCacheDefinition pivotCacheId="2175557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5-12-04T00:00:00"/>
    <x v="0"/>
    <x v="0"/>
    <n v="7360.05"/>
    <n v="165"/>
    <n v="43"/>
    <n v="167838.75"/>
  </r>
  <r>
    <d v="2025-05-22T00:00:00"/>
    <x v="1"/>
    <x v="1"/>
    <n v="7368.04"/>
    <n v="209"/>
    <n v="15"/>
    <n v="62582.54"/>
  </r>
  <r>
    <d v="2025-08-24T00:00:00"/>
    <x v="1"/>
    <x v="2"/>
    <n v="7235.8"/>
    <n v="119"/>
    <n v="3"/>
    <n v="4509.8599999999997"/>
  </r>
  <r>
    <d v="2025-05-18T00:00:00"/>
    <x v="2"/>
    <x v="3"/>
    <n v="12798.4"/>
    <n v="57"/>
    <n v="4"/>
    <n v="17070.38"/>
  </r>
  <r>
    <d v="2025-05-22T00:00:00"/>
    <x v="0"/>
    <x v="0"/>
    <n v="4915.18"/>
    <n v="147"/>
    <n v="45"/>
    <n v="189352.53"/>
  </r>
  <r>
    <d v="2025-06-12T00:00:00"/>
    <x v="2"/>
    <x v="2"/>
    <n v="8538.7800000000007"/>
    <n v="130"/>
    <n v="22"/>
    <n v="23113.9"/>
  </r>
  <r>
    <d v="2025-09-03T00:00:00"/>
    <x v="2"/>
    <x v="0"/>
    <n v="9245.33"/>
    <n v="210"/>
    <n v="4"/>
    <n v="8592.58"/>
  </r>
  <r>
    <d v="2025-12-22T00:00:00"/>
    <x v="3"/>
    <x v="2"/>
    <n v="0"/>
    <n v="83"/>
    <n v="6"/>
    <n v="18958.7"/>
  </r>
  <r>
    <d v="2025-03-10T00:00:00"/>
    <x v="3"/>
    <x v="2"/>
    <n v="4814.6000000000004"/>
    <n v="154"/>
    <n v="14"/>
    <n v="33526.81"/>
  </r>
  <r>
    <d v="2025-06-29T00:00:00"/>
    <x v="1"/>
    <x v="1"/>
    <n v="3918.93"/>
    <n v="199"/>
    <n v="74"/>
    <n v="198353.93"/>
  </r>
  <r>
    <d v="2025-12-13T00:00:00"/>
    <x v="4"/>
    <x v="0"/>
    <n v="8874.23"/>
    <n v="88"/>
    <n v="24"/>
    <n v="35160.620000000003"/>
  </r>
  <r>
    <d v="2025-08-25T00:00:00"/>
    <x v="2"/>
    <x v="2"/>
    <n v="14140.08"/>
    <n v="26"/>
    <n v="2"/>
    <n v="4448.71"/>
  </r>
  <r>
    <d v="2025-10-02T00:00:00"/>
    <x v="4"/>
    <x v="3"/>
    <n v="1437.55"/>
    <n v="199"/>
    <n v="74"/>
    <n v="204297.89"/>
  </r>
  <r>
    <d v="2025-11-06T00:00:00"/>
    <x v="1"/>
    <x v="0"/>
    <n v="13075.87"/>
    <n v="218"/>
    <n v="25"/>
    <n v="115009.98"/>
  </r>
  <r>
    <d v="2025-08-14T00:00:00"/>
    <x v="3"/>
    <x v="1"/>
    <n v="10604.99"/>
    <n v="90"/>
    <n v="24"/>
    <n v="125649.56"/>
  </r>
  <r>
    <d v="2025-02-25T00:00:00"/>
    <x v="3"/>
    <x v="0"/>
    <n v="4789.6099999999997"/>
    <n v="97"/>
    <n v="28"/>
    <n v="37840.11"/>
  </r>
  <r>
    <d v="2025-09-28T00:00:00"/>
    <x v="4"/>
    <x v="2"/>
    <n v="3225.55"/>
    <n v="64"/>
    <n v="19"/>
    <n v="23750.3"/>
  </r>
  <r>
    <d v="2025-02-02T00:00:00"/>
    <x v="0"/>
    <x v="0"/>
    <n v="2862.7"/>
    <n v="213"/>
    <n v="55"/>
    <n v="64536.9"/>
  </r>
  <r>
    <d v="2025-05-22T00:00:00"/>
    <x v="3"/>
    <x v="3"/>
    <n v="10358.5"/>
    <n v="241"/>
    <n v="68"/>
    <n v="179095.34"/>
  </r>
  <r>
    <d v="2025-01-30T00:00:00"/>
    <x v="0"/>
    <x v="4"/>
    <n v="11353.79"/>
    <n v="48"/>
    <n v="19"/>
    <n v="105615.47"/>
  </r>
  <r>
    <d v="2025-04-14T00:00:00"/>
    <x v="0"/>
    <x v="4"/>
    <n v="12224.2"/>
    <n v="171"/>
    <n v="3"/>
    <n v="5714.86"/>
  </r>
  <r>
    <d v="2025-06-09T00:00:00"/>
    <x v="1"/>
    <x v="4"/>
    <n v="4893.91"/>
    <n v="220"/>
    <n v="21"/>
    <n v="86663.19"/>
  </r>
  <r>
    <d v="2025-07-26T00:00:00"/>
    <x v="3"/>
    <x v="4"/>
    <n v="14271.89"/>
    <n v="202"/>
    <n v="12"/>
    <n v="41944.95"/>
  </r>
  <r>
    <d v="2025-06-14T00:00:00"/>
    <x v="3"/>
    <x v="0"/>
    <n v="6648.73"/>
    <n v="211"/>
    <n v="66"/>
    <n v="244089.28"/>
  </r>
  <r>
    <d v="2025-06-29T00:00:00"/>
    <x v="0"/>
    <x v="3"/>
    <n v="10652.75"/>
    <n v="208"/>
    <n v="45"/>
    <n v="238518.05"/>
  </r>
  <r>
    <d v="2025-06-15T00:00:00"/>
    <x v="0"/>
    <x v="3"/>
    <n v="12257.16"/>
    <n v="241"/>
    <n v="89"/>
    <n v="367325.59"/>
  </r>
  <r>
    <d v="2025-12-31T00:00:00"/>
    <x v="3"/>
    <x v="0"/>
    <n v="8467.65"/>
    <n v="147"/>
    <n v="50"/>
    <n v="152261.74"/>
  </r>
  <r>
    <d v="2025-02-24T00:00:00"/>
    <x v="4"/>
    <x v="3"/>
    <n v="14171.39"/>
    <n v="26"/>
    <n v="1"/>
    <n v="5063.58"/>
  </r>
  <r>
    <d v="2025-03-12T00:00:00"/>
    <x v="4"/>
    <x v="0"/>
    <n v="12234.5"/>
    <n v="71"/>
    <n v="23"/>
    <n v="55648.68"/>
  </r>
  <r>
    <d v="2025-10-17T00:00:00"/>
    <x v="1"/>
    <x v="4"/>
    <n v="14720.39"/>
    <n v="59"/>
    <n v="23"/>
    <n v="29371.55"/>
  </r>
  <r>
    <d v="2025-06-14T00:00:00"/>
    <x v="1"/>
    <x v="4"/>
    <n v="3300.33"/>
    <n v="105"/>
    <n v="34"/>
    <n v="174264.11"/>
  </r>
  <r>
    <d v="2025-05-11T00:00:00"/>
    <x v="3"/>
    <x v="3"/>
    <n v="4418.6899999999996"/>
    <n v="181"/>
    <n v="14"/>
    <n v="50595.69"/>
  </r>
  <r>
    <d v="2025-11-12T00:00:00"/>
    <x v="3"/>
    <x v="1"/>
    <n v="11541.73"/>
    <n v="51"/>
    <n v="7"/>
    <n v="37682.129999999997"/>
  </r>
  <r>
    <d v="2025-04-26T00:00:00"/>
    <x v="3"/>
    <x v="4"/>
    <n v="9609.27"/>
    <n v="146"/>
    <n v="44"/>
    <n v="106555.29"/>
  </r>
  <r>
    <d v="2025-04-16T00:00:00"/>
    <x v="2"/>
    <x v="4"/>
    <n v="6140.26"/>
    <n v="246"/>
    <n v="77"/>
    <n v="417474.84"/>
  </r>
  <r>
    <d v="2025-01-30T00:00:00"/>
    <x v="4"/>
    <x v="2"/>
    <n v="4475.26"/>
    <n v="41"/>
    <n v="13"/>
    <n v="41486.83"/>
  </r>
  <r>
    <d v="2025-11-15T00:00:00"/>
    <x v="0"/>
    <x v="0"/>
    <n v="4092.57"/>
    <n v="45"/>
    <n v="10"/>
    <n v="32629.9"/>
  </r>
  <r>
    <d v="2025-01-26T00:00:00"/>
    <x v="1"/>
    <x v="2"/>
    <n v="14980.87"/>
    <n v="43"/>
    <n v="17"/>
    <n v="101553.33"/>
  </r>
  <r>
    <d v="2025-05-23T00:00:00"/>
    <x v="3"/>
    <x v="0"/>
    <n v="2106.83"/>
    <n v="129"/>
    <n v="48"/>
    <n v="64420.18"/>
  </r>
  <r>
    <d v="2025-10-05T00:00:00"/>
    <x v="1"/>
    <x v="4"/>
    <n v="4759.95"/>
    <n v="249"/>
    <n v="64"/>
    <n v="318959.92"/>
  </r>
  <r>
    <d v="2025-04-08T00:00:00"/>
    <x v="4"/>
    <x v="4"/>
    <n v="5731.59"/>
    <n v="235"/>
    <n v="35"/>
    <n v="103014.54"/>
  </r>
  <r>
    <d v="2025-12-09T00:00:00"/>
    <x v="0"/>
    <x v="0"/>
    <n v="2989.28"/>
    <n v="137"/>
    <n v="54"/>
    <n v="126960.71"/>
  </r>
  <r>
    <d v="2025-05-04T00:00:00"/>
    <x v="2"/>
    <x v="2"/>
    <n v="12467.05"/>
    <n v="115"/>
    <n v="18"/>
    <n v="32365.78"/>
  </r>
  <r>
    <d v="2025-05-16T00:00:00"/>
    <x v="0"/>
    <x v="3"/>
    <n v="12785.27"/>
    <n v="167"/>
    <n v="56"/>
    <n v="281940.27"/>
  </r>
  <r>
    <d v="2025-02-05T00:00:00"/>
    <x v="1"/>
    <x v="2"/>
    <n v="3805.91"/>
    <n v="154"/>
    <n v="44"/>
    <n v="238564.53"/>
  </r>
  <r>
    <d v="2025-02-07T00:00:00"/>
    <x v="3"/>
    <x v="3"/>
    <n v="2392.7600000000002"/>
    <n v="239"/>
    <n v="54"/>
    <n v="270529.69"/>
  </r>
  <r>
    <d v="2025-10-31T00:00:00"/>
    <x v="0"/>
    <x v="2"/>
    <n v="3806.87"/>
    <n v="30"/>
    <n v="10"/>
    <n v="39798.36"/>
  </r>
  <r>
    <d v="2025-08-02T00:00:00"/>
    <x v="1"/>
    <x v="2"/>
    <n v="13872.37"/>
    <n v="205"/>
    <n v="41"/>
    <n v="103869.01"/>
  </r>
  <r>
    <d v="2025-12-22T00:00:00"/>
    <x v="2"/>
    <x v="0"/>
    <n v="8529.1"/>
    <n v="182"/>
    <n v="35"/>
    <n v="77627.03"/>
  </r>
  <r>
    <d v="2025-02-26T00:00:00"/>
    <x v="1"/>
    <x v="4"/>
    <n v="14607.7"/>
    <n v="62"/>
    <n v="20"/>
    <n v="78105.91"/>
  </r>
  <r>
    <d v="2025-04-13T00:00:00"/>
    <x v="2"/>
    <x v="1"/>
    <n v="4612.34"/>
    <n v="54"/>
    <n v="4"/>
    <n v="17475.89"/>
  </r>
  <r>
    <d v="2025-05-11T00:00:00"/>
    <x v="3"/>
    <x v="2"/>
    <n v="14346.22"/>
    <n v="111"/>
    <n v="25"/>
    <n v="62945.32"/>
  </r>
  <r>
    <d v="2025-05-20T00:00:00"/>
    <x v="1"/>
    <x v="4"/>
    <n v="4208.9799999999996"/>
    <n v="102"/>
    <n v="12"/>
    <n v="32657.65"/>
  </r>
  <r>
    <d v="2025-07-16T00:00:00"/>
    <x v="0"/>
    <x v="3"/>
    <n v="1007.24"/>
    <n v="243"/>
    <n v="24"/>
    <n v="100600.94"/>
  </r>
  <r>
    <d v="2025-11-03T00:00:00"/>
    <x v="3"/>
    <x v="3"/>
    <n v="5718.41"/>
    <n v="203"/>
    <n v="66"/>
    <n v="268033.08"/>
  </r>
  <r>
    <d v="2025-11-01T00:00:00"/>
    <x v="4"/>
    <x v="3"/>
    <n v="2818.19"/>
    <n v="216"/>
    <n v="78"/>
    <n v="246087.12"/>
  </r>
  <r>
    <d v="2025-03-22T00:00:00"/>
    <x v="2"/>
    <x v="2"/>
    <n v="1076.6099999999999"/>
    <n v="86"/>
    <n v="23"/>
    <n v="36865.300000000003"/>
  </r>
  <r>
    <d v="2025-06-07T00:00:00"/>
    <x v="1"/>
    <x v="1"/>
    <n v="11471.54"/>
    <n v="166"/>
    <n v="49"/>
    <n v="69919.179999999993"/>
  </r>
  <r>
    <d v="2025-08-10T00:00:00"/>
    <x v="3"/>
    <x v="1"/>
    <n v="12493.21"/>
    <n v="28"/>
    <n v="9"/>
    <n v="40563.980000000003"/>
  </r>
  <r>
    <d v="2025-05-09T00:00:00"/>
    <x v="1"/>
    <x v="4"/>
    <n v="3400.45"/>
    <n v="225"/>
    <n v="76"/>
    <n v="181952.33"/>
  </r>
  <r>
    <d v="2025-06-27T00:00:00"/>
    <x v="2"/>
    <x v="1"/>
    <n v="14615.53"/>
    <n v="97"/>
    <n v="9"/>
    <n v="27059.89"/>
  </r>
  <r>
    <d v="2025-07-01T00:00:00"/>
    <x v="1"/>
    <x v="4"/>
    <n v="3369.3"/>
    <n v="140"/>
    <n v="56"/>
    <n v="183716.72"/>
  </r>
  <r>
    <d v="2025-10-23T00:00:00"/>
    <x v="4"/>
    <x v="2"/>
    <n v="3255.93"/>
    <n v="213"/>
    <n v="40"/>
    <n v="66271.740000000005"/>
  </r>
  <r>
    <d v="2025-01-28T00:00:00"/>
    <x v="3"/>
    <x v="1"/>
    <n v="4398.43"/>
    <n v="199"/>
    <n v="26"/>
    <n v="71387.06"/>
  </r>
  <r>
    <d v="2025-03-28T00:00:00"/>
    <x v="3"/>
    <x v="0"/>
    <n v="5368.26"/>
    <n v="139"/>
    <n v="46"/>
    <n v="249991.97"/>
  </r>
  <r>
    <d v="2025-04-25T00:00:00"/>
    <x v="3"/>
    <x v="3"/>
    <n v="3913.35"/>
    <n v="237"/>
    <n v="57"/>
    <n v="337759.52"/>
  </r>
  <r>
    <d v="2025-09-10T00:00:00"/>
    <x v="2"/>
    <x v="2"/>
    <n v="6019.43"/>
    <n v="81"/>
    <n v="2"/>
    <n v="3827.8"/>
  </r>
  <r>
    <d v="2025-01-29T00:00:00"/>
    <x v="4"/>
    <x v="3"/>
    <n v="5706.63"/>
    <n v="38"/>
    <n v="9"/>
    <n v="48553.26"/>
  </r>
  <r>
    <d v="2025-09-05T00:00:00"/>
    <x v="4"/>
    <x v="4"/>
    <n v="5275.54"/>
    <n v="177"/>
    <n v="33"/>
    <n v="159486.85"/>
  </r>
  <r>
    <d v="2025-08-02T00:00:00"/>
    <x v="3"/>
    <x v="3"/>
    <n v="5143.6899999999996"/>
    <n v="179"/>
    <n v="62"/>
    <n v="123320.57"/>
  </r>
  <r>
    <d v="2025-04-21T00:00:00"/>
    <x v="3"/>
    <x v="4"/>
    <n v="6411.47"/>
    <n v="172"/>
    <n v="55"/>
    <n v="109688.14"/>
  </r>
  <r>
    <d v="2025-10-11T00:00:00"/>
    <x v="4"/>
    <x v="0"/>
    <n v="2998.22"/>
    <n v="202"/>
    <n v="56"/>
    <n v="228271.99"/>
  </r>
  <r>
    <d v="2025-07-28T00:00:00"/>
    <x v="4"/>
    <x v="4"/>
    <n v="4335.8500000000004"/>
    <n v="135"/>
    <n v="7"/>
    <n v="39062.910000000003"/>
  </r>
  <r>
    <d v="2025-11-20T00:00:00"/>
    <x v="3"/>
    <x v="2"/>
    <n v="3508.88"/>
    <n v="205"/>
    <n v="13"/>
    <n v="31299.54"/>
  </r>
  <r>
    <d v="2025-08-21T00:00:00"/>
    <x v="0"/>
    <x v="2"/>
    <n v="10868.79"/>
    <n v="91"/>
    <n v="6"/>
    <n v="18288.89"/>
  </r>
  <r>
    <d v="2025-05-17T00:00:00"/>
    <x v="4"/>
    <x v="1"/>
    <n v="5983.73"/>
    <n v="78"/>
    <n v="3"/>
    <n v="11450.45"/>
  </r>
  <r>
    <d v="2025-07-21T00:00:00"/>
    <x v="4"/>
    <x v="0"/>
    <n v="10304.700000000001"/>
    <n v="195"/>
    <n v="14"/>
    <n v="73559.47"/>
  </r>
  <r>
    <d v="2025-03-31T00:00:00"/>
    <x v="2"/>
    <x v="2"/>
    <n v="13631.21"/>
    <n v="197"/>
    <n v="44"/>
    <n v="180795.74"/>
  </r>
  <r>
    <d v="2025-05-16T00:00:00"/>
    <x v="2"/>
    <x v="0"/>
    <n v="5446.54"/>
    <n v="103"/>
    <n v="21"/>
    <n v="71851.929999999993"/>
  </r>
  <r>
    <d v="2025-07-30T00:00:00"/>
    <x v="4"/>
    <x v="1"/>
    <n v="1295.8900000000001"/>
    <n v="98"/>
    <n v="2"/>
    <n v="7256.5"/>
  </r>
  <r>
    <d v="2025-02-14T00:00:00"/>
    <x v="0"/>
    <x v="2"/>
    <n v="4258.5200000000004"/>
    <n v="230"/>
    <n v="45"/>
    <n v="118253.78"/>
  </r>
  <r>
    <d v="2025-02-12T00:00:00"/>
    <x v="1"/>
    <x v="0"/>
    <n v="3507.18"/>
    <n v="37"/>
    <n v="6"/>
    <n v="30173.59"/>
  </r>
  <r>
    <d v="2025-07-21T00:00:00"/>
    <x v="1"/>
    <x v="0"/>
    <n v="4395.74"/>
    <n v="167"/>
    <n v="63"/>
    <n v="141850"/>
  </r>
  <r>
    <d v="2025-08-25T00:00:00"/>
    <x v="0"/>
    <x v="4"/>
    <n v="3563.99"/>
    <n v="224"/>
    <n v="2"/>
    <n v="2838.97"/>
  </r>
  <r>
    <d v="2025-10-29T00:00:00"/>
    <x v="3"/>
    <x v="1"/>
    <n v="9185.69"/>
    <n v="48"/>
    <n v="17"/>
    <n v="38358.03"/>
  </r>
  <r>
    <d v="2025-07-09T00:00:00"/>
    <x v="1"/>
    <x v="2"/>
    <n v="8453.6"/>
    <n v="193"/>
    <n v="47"/>
    <n v="262579.65999999997"/>
  </r>
  <r>
    <d v="2025-01-16T00:00:00"/>
    <x v="3"/>
    <x v="1"/>
    <n v="7155.94"/>
    <n v="165"/>
    <n v="13"/>
    <n v="62947.15"/>
  </r>
  <r>
    <d v="2025-06-09T00:00:00"/>
    <x v="1"/>
    <x v="1"/>
    <n v="5071.43"/>
    <n v="208"/>
    <n v="47"/>
    <n v="62482.12"/>
  </r>
  <r>
    <d v="2025-06-07T00:00:00"/>
    <x v="0"/>
    <x v="1"/>
    <n v="10736.56"/>
    <n v="110"/>
    <n v="29"/>
    <n v="121656.54"/>
  </r>
  <r>
    <d v="2025-04-09T00:00:00"/>
    <x v="1"/>
    <x v="3"/>
    <n v="13585.06"/>
    <n v="27"/>
    <n v="3"/>
    <n v="16621.63"/>
  </r>
  <r>
    <d v="2025-05-09T00:00:00"/>
    <x v="1"/>
    <x v="3"/>
    <n v="3987.44"/>
    <n v="183"/>
    <n v="68"/>
    <n v="166924.82999999999"/>
  </r>
  <r>
    <d v="2025-01-04T00:00:00"/>
    <x v="4"/>
    <x v="4"/>
    <n v="10304.99"/>
    <n v="207"/>
    <n v="64"/>
    <n v="325971.20000000001"/>
  </r>
  <r>
    <d v="2025-10-05T00:00:00"/>
    <x v="3"/>
    <x v="3"/>
    <n v="4444.6099999999997"/>
    <n v="207"/>
    <n v="10"/>
    <n v="21031.83"/>
  </r>
  <r>
    <d v="2025-09-09T00:00:00"/>
    <x v="3"/>
    <x v="0"/>
    <n v="13502.46"/>
    <n v="166"/>
    <n v="44"/>
    <n v="211343.07"/>
  </r>
  <r>
    <d v="2025-01-17T00:00:00"/>
    <x v="1"/>
    <x v="1"/>
    <n v="4819.93"/>
    <n v="176"/>
    <n v="63"/>
    <n v="151241.46"/>
  </r>
  <r>
    <d v="2025-09-25T00:00:00"/>
    <x v="0"/>
    <x v="3"/>
    <n v="13977.3"/>
    <n v="210"/>
    <n v="39"/>
    <n v="221519.09"/>
  </r>
  <r>
    <d v="2025-06-24T00:00:00"/>
    <x v="0"/>
    <x v="3"/>
    <n v="14829.42"/>
    <n v="247"/>
    <n v="22"/>
    <n v="54073.37"/>
  </r>
  <r>
    <d v="2025-09-22T00:00:00"/>
    <x v="0"/>
    <x v="0"/>
    <n v="2051.11"/>
    <n v="168"/>
    <n v="31"/>
    <n v="148597.17000000001"/>
  </r>
  <r>
    <d v="2025-08-15T00:00:00"/>
    <x v="1"/>
    <x v="3"/>
    <n v="10753.86"/>
    <n v="56"/>
    <n v="3"/>
    <n v="11761.88"/>
  </r>
  <r>
    <d v="2025-06-26T00:00:00"/>
    <x v="1"/>
    <x v="4"/>
    <n v="4901.9799999999996"/>
    <n v="231"/>
    <n v="39"/>
    <n v="47882.61"/>
  </r>
  <r>
    <d v="2025-11-08T00:00:00"/>
    <x v="1"/>
    <x v="1"/>
    <n v="7228.89"/>
    <n v="48"/>
    <n v="14"/>
    <n v="81806.22"/>
  </r>
  <r>
    <d v="2025-03-26T00:00:00"/>
    <x v="1"/>
    <x v="2"/>
    <n v="14893.31"/>
    <n v="69"/>
    <n v="27"/>
    <n v="67017.919999999998"/>
  </r>
  <r>
    <d v="2025-12-13T00:00:00"/>
    <x v="4"/>
    <x v="4"/>
    <n v="4960.3500000000004"/>
    <n v="122"/>
    <n v="48"/>
    <n v="190754.84"/>
  </r>
  <r>
    <d v="2025-05-25T00:00:00"/>
    <x v="4"/>
    <x v="3"/>
    <n v="8419.39"/>
    <n v="160"/>
    <n v="9"/>
    <n v="47963.65"/>
  </r>
  <r>
    <d v="2025-11-09T00:00:00"/>
    <x v="3"/>
    <x v="0"/>
    <n v="10194.69"/>
    <n v="131"/>
    <n v="45"/>
    <n v="150165"/>
  </r>
  <r>
    <d v="2025-12-17T00:00:00"/>
    <x v="4"/>
    <x v="1"/>
    <n v="6420.93"/>
    <n v="176"/>
    <n v="58"/>
    <n v="58564.51"/>
  </r>
  <r>
    <d v="2025-04-15T00:00:00"/>
    <x v="4"/>
    <x v="2"/>
    <n v="9130.8700000000008"/>
    <n v="114"/>
    <n v="8"/>
    <n v="32104.06"/>
  </r>
  <r>
    <d v="2025-02-14T00:00:00"/>
    <x v="3"/>
    <x v="3"/>
    <n v="10289"/>
    <n v="111"/>
    <n v="40"/>
    <n v="212776.22"/>
  </r>
  <r>
    <d v="2025-06-30T00:00:00"/>
    <x v="3"/>
    <x v="4"/>
    <n v="13802.67"/>
    <n v="215"/>
    <n v="38"/>
    <n v="114706.14"/>
  </r>
  <r>
    <d v="2025-04-27T00:00:00"/>
    <x v="4"/>
    <x v="2"/>
    <n v="4932.54"/>
    <n v="190"/>
    <n v="46"/>
    <n v="148087.6"/>
  </r>
  <r>
    <d v="2025-07-30T00:00:00"/>
    <x v="0"/>
    <x v="4"/>
    <n v="8976.76"/>
    <n v="191"/>
    <n v="66"/>
    <n v="165831.65"/>
  </r>
  <r>
    <d v="2025-09-14T00:00:00"/>
    <x v="0"/>
    <x v="1"/>
    <n v="2810.05"/>
    <n v="73"/>
    <n v="5"/>
    <n v="12773.4"/>
  </r>
  <r>
    <d v="2025-07-17T00:00:00"/>
    <x v="1"/>
    <x v="1"/>
    <n v="6029.59"/>
    <n v="165"/>
    <n v="1"/>
    <n v="2685.68"/>
  </r>
  <r>
    <d v="2025-10-08T00:00:00"/>
    <x v="0"/>
    <x v="3"/>
    <n v="2963.81"/>
    <n v="245"/>
    <n v="92"/>
    <n v="442336.97"/>
  </r>
  <r>
    <d v="2025-02-05T00:00:00"/>
    <x v="0"/>
    <x v="3"/>
    <n v="7919.1"/>
    <n v="69"/>
    <n v="27"/>
    <n v="131886.62"/>
  </r>
  <r>
    <d v="2025-04-18T00:00:00"/>
    <x v="1"/>
    <x v="3"/>
    <n v="8273.91"/>
    <n v="36"/>
    <n v="14"/>
    <n v="65814.48"/>
  </r>
  <r>
    <d v="2025-03-13T00:00:00"/>
    <x v="1"/>
    <x v="0"/>
    <n v="4912.0200000000004"/>
    <n v="25"/>
    <n v="4"/>
    <n v="21268.75"/>
  </r>
  <r>
    <d v="2025-11-09T00:00:00"/>
    <x v="1"/>
    <x v="1"/>
    <n v="5448.53"/>
    <n v="146"/>
    <n v="36"/>
    <n v="85060.81"/>
  </r>
  <r>
    <d v="2025-06-17T00:00:00"/>
    <x v="4"/>
    <x v="3"/>
    <n v="11118.95"/>
    <n v="174"/>
    <n v="33"/>
    <n v="108283.1"/>
  </r>
  <r>
    <d v="2025-08-26T00:00:00"/>
    <x v="3"/>
    <x v="0"/>
    <n v="11838.56"/>
    <n v="126"/>
    <n v="2"/>
    <n v="3993.41"/>
  </r>
  <r>
    <d v="2025-07-24T00:00:00"/>
    <x v="3"/>
    <x v="0"/>
    <n v="2418.38"/>
    <n v="133"/>
    <n v="3"/>
    <n v="12748.65"/>
  </r>
  <r>
    <d v="2025-08-14T00:00:00"/>
    <x v="4"/>
    <x v="2"/>
    <n v="6537.48"/>
    <n v="186"/>
    <n v="33"/>
    <n v="170586.09"/>
  </r>
  <r>
    <d v="2025-02-20T00:00:00"/>
    <x v="3"/>
    <x v="4"/>
    <n v="5633.45"/>
    <n v="176"/>
    <n v="29"/>
    <n v="107475.26"/>
  </r>
  <r>
    <d v="2025-10-06T00:00:00"/>
    <x v="3"/>
    <x v="2"/>
    <n v="1906.44"/>
    <n v="155"/>
    <n v="62"/>
    <n v="69266.98"/>
  </r>
  <r>
    <d v="2025-09-06T00:00:00"/>
    <x v="1"/>
    <x v="2"/>
    <n v="7229.71"/>
    <n v="42"/>
    <n v="16"/>
    <n v="17435.169999999998"/>
  </r>
  <r>
    <d v="2025-11-01T00:00:00"/>
    <x v="2"/>
    <x v="2"/>
    <n v="10857.12"/>
    <n v="104"/>
    <n v="29"/>
    <n v="148130.95000000001"/>
  </r>
  <r>
    <d v="2025-04-16T00:00:00"/>
    <x v="4"/>
    <x v="4"/>
    <n v="10278.450000000001"/>
    <n v="45"/>
    <n v="7"/>
    <n v="12581.99"/>
  </r>
  <r>
    <d v="2025-09-13T00:00:00"/>
    <x v="0"/>
    <x v="0"/>
    <n v="7527.48"/>
    <n v="76"/>
    <n v="24"/>
    <n v="130466.41"/>
  </r>
  <r>
    <d v="2025-12-08T00:00:00"/>
    <x v="4"/>
    <x v="2"/>
    <n v="6834.08"/>
    <n v="227"/>
    <n v="18"/>
    <n v="95744.67"/>
  </r>
  <r>
    <d v="2025-01-28T00:00:00"/>
    <x v="3"/>
    <x v="0"/>
    <n v="7888.22"/>
    <n v="235"/>
    <n v="74"/>
    <n v="361964.53"/>
  </r>
  <r>
    <d v="2025-08-13T00:00:00"/>
    <x v="1"/>
    <x v="1"/>
    <n v="8840.42"/>
    <n v="102"/>
    <n v="10"/>
    <n v="58501.86"/>
  </r>
  <r>
    <d v="2025-08-01T00:00:00"/>
    <x v="0"/>
    <x v="3"/>
    <n v="2619.08"/>
    <n v="94"/>
    <n v="26"/>
    <n v="140048.79999999999"/>
  </r>
  <r>
    <d v="2025-08-14T00:00:00"/>
    <x v="4"/>
    <x v="2"/>
    <n v="10934.19"/>
    <n v="95"/>
    <n v="33"/>
    <n v="47455.48"/>
  </r>
  <r>
    <d v="2025-11-02T00:00:00"/>
    <x v="2"/>
    <x v="1"/>
    <n v="9055.31"/>
    <n v="191"/>
    <n v="66"/>
    <n v="365965.99"/>
  </r>
  <r>
    <d v="2025-01-16T00:00:00"/>
    <x v="4"/>
    <x v="1"/>
    <n v="6763.9"/>
    <n v="25"/>
    <n v="7"/>
    <n v="23618.67"/>
  </r>
  <r>
    <d v="2025-10-16T00:00:00"/>
    <x v="3"/>
    <x v="4"/>
    <n v="5077.18"/>
    <n v="49"/>
    <n v="12"/>
    <n v="70553.919999999998"/>
  </r>
  <r>
    <d v="2025-01-07T00:00:00"/>
    <x v="0"/>
    <x v="0"/>
    <n v="5031.6400000000003"/>
    <n v="140"/>
    <n v="42"/>
    <n v="225669.7"/>
  </r>
  <r>
    <d v="2025-08-03T00:00:00"/>
    <x v="0"/>
    <x v="1"/>
    <n v="2569.9499999999998"/>
    <n v="39"/>
    <n v="15"/>
    <n v="86810.54"/>
  </r>
  <r>
    <d v="2025-06-22T00:00:00"/>
    <x v="0"/>
    <x v="4"/>
    <n v="11582.88"/>
    <n v="186"/>
    <n v="48"/>
    <n v="65137.09"/>
  </r>
  <r>
    <d v="2025-08-15T00:00:00"/>
    <x v="0"/>
    <x v="4"/>
    <n v="1756.7"/>
    <n v="68"/>
    <n v="9"/>
    <n v="43344.68"/>
  </r>
  <r>
    <d v="2025-08-03T00:00:00"/>
    <x v="0"/>
    <x v="4"/>
    <n v="13577.58"/>
    <n v="230"/>
    <n v="18"/>
    <n v="65859.56"/>
  </r>
  <r>
    <d v="2025-01-17T00:00:00"/>
    <x v="1"/>
    <x v="2"/>
    <n v="1005.56"/>
    <n v="207"/>
    <n v="40"/>
    <n v="184052.62"/>
  </r>
  <r>
    <d v="2025-10-31T00:00:00"/>
    <x v="3"/>
    <x v="0"/>
    <n v="5536.36"/>
    <n v="122"/>
    <n v="38"/>
    <n v="130229.67"/>
  </r>
  <r>
    <d v="2025-02-15T00:00:00"/>
    <x v="4"/>
    <x v="2"/>
    <n v="4576.4399999999996"/>
    <n v="175"/>
    <n v="53"/>
    <n v="140480.04999999999"/>
  </r>
  <r>
    <d v="2025-02-28T00:00:00"/>
    <x v="0"/>
    <x v="0"/>
    <n v="9983.58"/>
    <n v="75"/>
    <n v="23"/>
    <n v="60612.43"/>
  </r>
  <r>
    <d v="2025-07-25T00:00:00"/>
    <x v="4"/>
    <x v="0"/>
    <n v="8144.61"/>
    <n v="116"/>
    <n v="46"/>
    <n v="258891.97"/>
  </r>
  <r>
    <d v="2025-07-05T00:00:00"/>
    <x v="3"/>
    <x v="0"/>
    <n v="12437.82"/>
    <n v="241"/>
    <n v="6"/>
    <n v="10992.91"/>
  </r>
  <r>
    <d v="2025-09-16T00:00:00"/>
    <x v="3"/>
    <x v="3"/>
    <n v="13408.12"/>
    <n v="179"/>
    <n v="27"/>
    <n v="77940.679999999993"/>
  </r>
  <r>
    <d v="2025-04-13T00:00:00"/>
    <x v="0"/>
    <x v="0"/>
    <n v="11130.29"/>
    <n v="34"/>
    <n v="6"/>
    <n v="27092.98"/>
  </r>
  <r>
    <d v="2025-04-22T00:00:00"/>
    <x v="4"/>
    <x v="4"/>
    <n v="8975.91"/>
    <n v="243"/>
    <n v="67"/>
    <n v="321630.92"/>
  </r>
  <r>
    <d v="2025-08-06T00:00:00"/>
    <x v="0"/>
    <x v="0"/>
    <n v="14549.92"/>
    <n v="80"/>
    <n v="2"/>
    <n v="11783.49"/>
  </r>
  <r>
    <d v="2025-11-25T00:00:00"/>
    <x v="3"/>
    <x v="4"/>
    <n v="1693.28"/>
    <n v="163"/>
    <n v="15"/>
    <n v="44426.77"/>
  </r>
  <r>
    <d v="2025-01-15T00:00:00"/>
    <x v="2"/>
    <x v="4"/>
    <n v="5342.25"/>
    <n v="148"/>
    <n v="20"/>
    <n v="98073.39"/>
  </r>
  <r>
    <d v="2025-01-06T00:00:00"/>
    <x v="0"/>
    <x v="2"/>
    <n v="6181.95"/>
    <n v="154"/>
    <n v="39"/>
    <n v="141030.88"/>
  </r>
  <r>
    <d v="2025-05-25T00:00:00"/>
    <x v="2"/>
    <x v="1"/>
    <n v="14447.33"/>
    <n v="240"/>
    <n v="46"/>
    <n v="222815.75"/>
  </r>
  <r>
    <d v="2025-11-01T00:00:00"/>
    <x v="4"/>
    <x v="4"/>
    <n v="7771.1"/>
    <n v="24"/>
    <n v="1"/>
    <n v="1246.29"/>
  </r>
  <r>
    <d v="2025-04-29T00:00:00"/>
    <x v="0"/>
    <x v="3"/>
    <n v="7040.05"/>
    <n v="97"/>
    <n v="33"/>
    <n v="36179.46"/>
  </r>
  <r>
    <d v="2025-06-12T00:00:00"/>
    <x v="3"/>
    <x v="4"/>
    <n v="2984.12"/>
    <n v="47"/>
    <n v="8"/>
    <n v="30860.09"/>
  </r>
  <r>
    <d v="2025-01-02T00:00:00"/>
    <x v="3"/>
    <x v="0"/>
    <n v="4733.3500000000004"/>
    <n v="90"/>
    <n v="8"/>
    <n v="21092.78"/>
  </r>
  <r>
    <d v="2025-03-24T00:00:00"/>
    <x v="3"/>
    <x v="0"/>
    <n v="12759.77"/>
    <n v="234"/>
    <n v="44"/>
    <n v="133537.14000000001"/>
  </r>
  <r>
    <d v="2025-10-19T00:00:00"/>
    <x v="1"/>
    <x v="1"/>
    <n v="11681.85"/>
    <n v="135"/>
    <n v="20"/>
    <n v="113311.06"/>
  </r>
  <r>
    <d v="2025-10-10T00:00:00"/>
    <x v="1"/>
    <x v="0"/>
    <n v="7842.15"/>
    <n v="230"/>
    <n v="56"/>
    <n v="121329.61"/>
  </r>
  <r>
    <d v="2025-05-14T00:00:00"/>
    <x v="4"/>
    <x v="4"/>
    <n v="8992.2999999999993"/>
    <n v="231"/>
    <n v="79"/>
    <n v="236281.03"/>
  </r>
  <r>
    <d v="2025-05-07T00:00:00"/>
    <x v="2"/>
    <x v="0"/>
    <n v="6103.09"/>
    <n v="173"/>
    <n v="57"/>
    <n v="116375.66"/>
  </r>
  <r>
    <d v="2025-09-23T00:00:00"/>
    <x v="1"/>
    <x v="4"/>
    <n v="12749.53"/>
    <n v="41"/>
    <n v="2"/>
    <n v="5878.69"/>
  </r>
  <r>
    <d v="2025-07-04T00:00:00"/>
    <x v="0"/>
    <x v="4"/>
    <n v="3495.15"/>
    <n v="137"/>
    <n v="18"/>
    <n v="107492.35"/>
  </r>
  <r>
    <d v="2025-12-30T00:00:00"/>
    <x v="0"/>
    <x v="2"/>
    <n v="14932.23"/>
    <n v="104"/>
    <n v="33"/>
    <n v="79222.2"/>
  </r>
  <r>
    <d v="2025-09-12T00:00:00"/>
    <x v="1"/>
    <x v="3"/>
    <n v="6347.88"/>
    <n v="192"/>
    <n v="66"/>
    <n v="389168.21"/>
  </r>
  <r>
    <d v="2025-09-06T00:00:00"/>
    <x v="1"/>
    <x v="4"/>
    <n v="1383.41"/>
    <n v="51"/>
    <n v="10"/>
    <n v="12751.59"/>
  </r>
  <r>
    <d v="2025-11-19T00:00:00"/>
    <x v="1"/>
    <x v="4"/>
    <n v="7401.18"/>
    <n v="189"/>
    <n v="60"/>
    <n v="130655.51"/>
  </r>
  <r>
    <d v="2025-05-02T00:00:00"/>
    <x v="2"/>
    <x v="2"/>
    <n v="10229.870000000001"/>
    <n v="59"/>
    <n v="14"/>
    <n v="70632.73"/>
  </r>
  <r>
    <d v="2025-10-10T00:00:00"/>
    <x v="4"/>
    <x v="3"/>
    <n v="6644.67"/>
    <n v="139"/>
    <n v="47"/>
    <n v="272116.06"/>
  </r>
  <r>
    <d v="2025-12-25T00:00:00"/>
    <x v="1"/>
    <x v="4"/>
    <n v="8683.3700000000008"/>
    <n v="56"/>
    <n v="9"/>
    <n v="31911.13"/>
  </r>
  <r>
    <d v="2025-08-15T00:00:00"/>
    <x v="1"/>
    <x v="2"/>
    <n v="8845.31"/>
    <n v="85"/>
    <n v="25"/>
    <n v="109925.5"/>
  </r>
  <r>
    <d v="2025-07-02T00:00:00"/>
    <x v="4"/>
    <x v="0"/>
    <n v="4296.7"/>
    <n v="26"/>
    <n v="6"/>
    <n v="14348.57"/>
  </r>
  <r>
    <d v="2025-02-26T00:00:00"/>
    <x v="3"/>
    <x v="1"/>
    <n v="4572.78"/>
    <n v="46"/>
    <n v="18"/>
    <n v="57928.66"/>
  </r>
  <r>
    <d v="2025-10-29T00:00:00"/>
    <x v="2"/>
    <x v="2"/>
    <n v="13438.37"/>
    <n v="24"/>
    <n v="1"/>
    <n v="3221.69"/>
  </r>
  <r>
    <d v="2025-03-05T00:00:00"/>
    <x v="0"/>
    <x v="2"/>
    <n v="13916.48"/>
    <n v="23"/>
    <n v="4"/>
    <n v="18451.62"/>
  </r>
  <r>
    <d v="2025-11-04T00:00:00"/>
    <x v="0"/>
    <x v="3"/>
    <n v="11383.4"/>
    <n v="47"/>
    <n v="3"/>
    <n v="6780.25"/>
  </r>
  <r>
    <d v="2025-06-23T00:00:00"/>
    <x v="3"/>
    <x v="4"/>
    <n v="6978.62"/>
    <n v="206"/>
    <n v="55"/>
    <n v="308336.90000000002"/>
  </r>
  <r>
    <d v="2025-03-05T00:00:00"/>
    <x v="1"/>
    <x v="0"/>
    <n v="2722.23"/>
    <n v="70"/>
    <n v="6"/>
    <n v="17755.47"/>
  </r>
  <r>
    <d v="2025-02-23T00:00:00"/>
    <x v="0"/>
    <x v="1"/>
    <n v="1002.19"/>
    <n v="144"/>
    <n v="42"/>
    <n v="135114.29999999999"/>
  </r>
  <r>
    <d v="2025-03-27T00:00:00"/>
    <x v="1"/>
    <x v="3"/>
    <n v="11373.29"/>
    <n v="104"/>
    <n v="37"/>
    <n v="68314.92"/>
  </r>
  <r>
    <d v="2025-01-11T00:00:00"/>
    <x v="3"/>
    <x v="4"/>
    <n v="9093.1200000000008"/>
    <n v="150"/>
    <n v="24"/>
    <n v="140504.1"/>
  </r>
  <r>
    <d v="2025-02-21T00:00:00"/>
    <x v="2"/>
    <x v="2"/>
    <n v="7473.57"/>
    <n v="42"/>
    <n v="3"/>
    <n v="9971.69"/>
  </r>
  <r>
    <d v="2025-04-25T00:00:00"/>
    <x v="1"/>
    <x v="0"/>
    <n v="6662.73"/>
    <n v="154"/>
    <n v="55"/>
    <n v="182447.44"/>
  </r>
  <r>
    <d v="2025-08-18T00:00:00"/>
    <x v="1"/>
    <x v="3"/>
    <n v="10968.48"/>
    <n v="148"/>
    <n v="50"/>
    <n v="104294.1"/>
  </r>
  <r>
    <d v="2025-03-21T00:00:00"/>
    <x v="1"/>
    <x v="4"/>
    <n v="6178.1"/>
    <n v="71"/>
    <n v="9"/>
    <n v="53016.41"/>
  </r>
  <r>
    <d v="2025-08-16T00:00:00"/>
    <x v="0"/>
    <x v="3"/>
    <n v="10676.66"/>
    <n v="229"/>
    <n v="83"/>
    <n v="212762.56"/>
  </r>
  <r>
    <d v="2025-08-31T00:00:00"/>
    <x v="2"/>
    <x v="3"/>
    <n v="3015.69"/>
    <n v="148"/>
    <n v="43"/>
    <n v="164672.04999999999"/>
  </r>
  <r>
    <d v="2025-07-25T00:00:00"/>
    <x v="3"/>
    <x v="4"/>
    <n v="12987.65"/>
    <n v="184"/>
    <n v="69"/>
    <n v="323798.19"/>
  </r>
  <r>
    <d v="2025-04-14T00:00:00"/>
    <x v="2"/>
    <x v="0"/>
    <n v="12401.79"/>
    <n v="37"/>
    <n v="7"/>
    <n v="28771.23"/>
  </r>
  <r>
    <d v="2025-06-20T00:00:00"/>
    <x v="4"/>
    <x v="0"/>
    <n v="4096.16"/>
    <n v="194"/>
    <n v="3"/>
    <n v="5907.2"/>
  </r>
  <r>
    <d v="2025-06-19T00:00:00"/>
    <x v="2"/>
    <x v="3"/>
    <n v="8095.17"/>
    <n v="212"/>
    <n v="50"/>
    <n v="184649.21"/>
  </r>
  <r>
    <d v="2025-06-24T00:00:00"/>
    <x v="0"/>
    <x v="0"/>
    <n v="14781.95"/>
    <n v="24"/>
    <n v="8"/>
    <n v="29841.66"/>
  </r>
  <r>
    <d v="2025-03-28T00:00:00"/>
    <x v="3"/>
    <x v="4"/>
    <n v="11658.39"/>
    <n v="199"/>
    <n v="42"/>
    <n v="177838.87"/>
  </r>
  <r>
    <d v="2025-03-08T00:00:00"/>
    <x v="3"/>
    <x v="0"/>
    <n v="5493.78"/>
    <n v="162"/>
    <n v="44"/>
    <n v="203280.88"/>
  </r>
  <r>
    <d v="2025-09-11T00:00:00"/>
    <x v="0"/>
    <x v="1"/>
    <n v="12288.41"/>
    <n v="70"/>
    <n v="6"/>
    <n v="32656.13"/>
  </r>
  <r>
    <d v="2025-04-11T00:00:00"/>
    <x v="1"/>
    <x v="1"/>
    <n v="6288.37"/>
    <n v="35"/>
    <n v="10"/>
    <n v="51481.62"/>
  </r>
  <r>
    <d v="2025-02-21T00:00:00"/>
    <x v="4"/>
    <x v="1"/>
    <n v="8276.1"/>
    <n v="133"/>
    <n v="44"/>
    <n v="115028.01"/>
  </r>
  <r>
    <d v="2025-08-20T00:00:00"/>
    <x v="4"/>
    <x v="1"/>
    <n v="10804.74"/>
    <n v="108"/>
    <n v="38"/>
    <n v="146998.29"/>
  </r>
  <r>
    <d v="2025-09-23T00:00:00"/>
    <x v="0"/>
    <x v="2"/>
    <n v="14641.34"/>
    <n v="25"/>
    <n v="4"/>
    <n v="9509.44"/>
  </r>
  <r>
    <d v="2025-11-26T00:00:00"/>
    <x v="1"/>
    <x v="4"/>
    <n v="10817.01"/>
    <n v="189"/>
    <n v="45"/>
    <n v="251065.09"/>
  </r>
  <r>
    <d v="2025-11-20T00:00:00"/>
    <x v="3"/>
    <x v="0"/>
    <n v="9679.6"/>
    <n v="130"/>
    <n v="44"/>
    <n v="118717.27"/>
  </r>
  <r>
    <d v="2025-12-22T00:00:00"/>
    <x v="1"/>
    <x v="2"/>
    <n v="1125.7"/>
    <n v="121"/>
    <n v="37"/>
    <n v="156356.87"/>
  </r>
  <r>
    <d v="2025-07-22T00:00:00"/>
    <x v="0"/>
    <x v="0"/>
    <n v="7502.35"/>
    <n v="104"/>
    <n v="32"/>
    <n v="180973.89"/>
  </r>
  <r>
    <d v="2025-03-12T00:00:00"/>
    <x v="0"/>
    <x v="4"/>
    <n v="2081.4299999999998"/>
    <n v="204"/>
    <n v="3"/>
    <n v="10994.61"/>
  </r>
  <r>
    <d v="2025-07-30T00:00:00"/>
    <x v="4"/>
    <x v="4"/>
    <n v="14191.41"/>
    <n v="202"/>
    <n v="28"/>
    <n v="58647.39"/>
  </r>
  <r>
    <d v="2025-03-24T00:00:00"/>
    <x v="0"/>
    <x v="2"/>
    <n v="10131.129999999999"/>
    <n v="233"/>
    <n v="9"/>
    <n v="44802.95"/>
  </r>
  <r>
    <d v="2025-03-25T00:00:00"/>
    <x v="3"/>
    <x v="2"/>
    <n v="10330.33"/>
    <n v="127"/>
    <n v="14"/>
    <n v="34586.17"/>
  </r>
  <r>
    <d v="2025-07-10T00:00:00"/>
    <x v="2"/>
    <x v="2"/>
    <n v="14347.59"/>
    <n v="213"/>
    <n v="30"/>
    <n v="174441.31"/>
  </r>
  <r>
    <d v="2025-12-29T00:00:00"/>
    <x v="4"/>
    <x v="2"/>
    <n v="13674.99"/>
    <n v="141"/>
    <n v="54"/>
    <n v="92151.15"/>
  </r>
  <r>
    <d v="2025-10-24T00:00:00"/>
    <x v="4"/>
    <x v="1"/>
    <n v="7159.28"/>
    <n v="95"/>
    <n v="32"/>
    <n v="115624.73"/>
  </r>
  <r>
    <d v="2025-04-10T00:00:00"/>
    <x v="4"/>
    <x v="3"/>
    <n v="4220.95"/>
    <n v="104"/>
    <n v="5"/>
    <n v="28627.89"/>
  </r>
  <r>
    <d v="2025-03-24T00:00:00"/>
    <x v="1"/>
    <x v="3"/>
    <n v="14675.42"/>
    <n v="143"/>
    <n v="38"/>
    <n v="143295.4"/>
  </r>
  <r>
    <d v="2025-10-01T00:00:00"/>
    <x v="4"/>
    <x v="2"/>
    <n v="12359.18"/>
    <n v="195"/>
    <n v="78"/>
    <n v="385302.42"/>
  </r>
  <r>
    <d v="2025-03-06T00:00:00"/>
    <x v="1"/>
    <x v="0"/>
    <n v="14425.27"/>
    <n v="36"/>
    <n v="8"/>
    <n v="36451.769999999997"/>
  </r>
  <r>
    <d v="2025-04-24T00:00:00"/>
    <x v="0"/>
    <x v="4"/>
    <n v="13010.99"/>
    <n v="31"/>
    <n v="9"/>
    <n v="30028.13"/>
  </r>
  <r>
    <d v="2025-05-01T00:00:00"/>
    <x v="3"/>
    <x v="0"/>
    <n v="12099.97"/>
    <n v="155"/>
    <n v="1"/>
    <n v="2640.1"/>
  </r>
  <r>
    <d v="2025-08-06T00:00:00"/>
    <x v="0"/>
    <x v="3"/>
    <n v="7123.82"/>
    <n v="84"/>
    <n v="30"/>
    <n v="58872.86"/>
  </r>
  <r>
    <d v="2025-09-02T00:00:00"/>
    <x v="2"/>
    <x v="1"/>
    <n v="8302.5400000000009"/>
    <n v="56"/>
    <n v="14"/>
    <n v="47145.87"/>
  </r>
  <r>
    <d v="2025-10-22T00:00:00"/>
    <x v="4"/>
    <x v="1"/>
    <n v="7111.69"/>
    <n v="110"/>
    <n v="2"/>
    <n v="10964.66"/>
  </r>
  <r>
    <d v="2025-07-20T00:00:00"/>
    <x v="3"/>
    <x v="1"/>
    <n v="2033.69"/>
    <n v="107"/>
    <n v="5"/>
    <n v="22175.61"/>
  </r>
  <r>
    <d v="2025-08-15T00:00:00"/>
    <x v="2"/>
    <x v="0"/>
    <n v="3705.5"/>
    <n v="202"/>
    <n v="43"/>
    <n v="72120.289999999994"/>
  </r>
  <r>
    <d v="2025-07-23T00:00:00"/>
    <x v="0"/>
    <x v="4"/>
    <n v="7464.07"/>
    <n v="182"/>
    <n v="10"/>
    <n v="24281.5"/>
  </r>
  <r>
    <d v="2025-10-10T00:00:00"/>
    <x v="0"/>
    <x v="4"/>
    <n v="2056.58"/>
    <n v="228"/>
    <n v="66"/>
    <n v="93701.42"/>
  </r>
  <r>
    <d v="2025-09-24T00:00:00"/>
    <x v="2"/>
    <x v="1"/>
    <n v="9034.56"/>
    <n v="233"/>
    <n v="79"/>
    <n v="419145.87"/>
  </r>
  <r>
    <d v="2025-02-25T00:00:00"/>
    <x v="2"/>
    <x v="2"/>
    <n v="7077.21"/>
    <n v="191"/>
    <n v="27"/>
    <n v="70581.42"/>
  </r>
  <r>
    <d v="2025-06-24T00:00:00"/>
    <x v="0"/>
    <x v="2"/>
    <n v="10218.36"/>
    <n v="213"/>
    <n v="2"/>
    <n v="5856.91"/>
  </r>
  <r>
    <d v="2025-09-13T00:00:00"/>
    <x v="1"/>
    <x v="0"/>
    <n v="10758.31"/>
    <n v="62"/>
    <n v="15"/>
    <n v="32287.57"/>
  </r>
  <r>
    <d v="2025-12-19T00:00:00"/>
    <x v="2"/>
    <x v="0"/>
    <n v="13149.35"/>
    <n v="29"/>
    <n v="8"/>
    <n v="22513.66"/>
  </r>
  <r>
    <d v="2025-02-04T00:00:00"/>
    <x v="2"/>
    <x v="2"/>
    <n v="4167.7299999999996"/>
    <n v="41"/>
    <n v="1"/>
    <n v="3397.39"/>
  </r>
  <r>
    <d v="2025-09-23T00:00:00"/>
    <x v="2"/>
    <x v="1"/>
    <n v="10198.08"/>
    <n v="31"/>
    <n v="7"/>
    <n v="14723.55"/>
  </r>
  <r>
    <d v="2025-09-20T00:00:00"/>
    <x v="0"/>
    <x v="2"/>
    <n v="14564.99"/>
    <n v="91"/>
    <n v="11"/>
    <n v="64153.9"/>
  </r>
  <r>
    <d v="2025-02-07T00:00:00"/>
    <x v="3"/>
    <x v="3"/>
    <n v="9702.74"/>
    <n v="231"/>
    <n v="20"/>
    <n v="84227.56"/>
  </r>
  <r>
    <d v="2025-05-25T00:00:00"/>
    <x v="0"/>
    <x v="4"/>
    <n v="5060.1499999999996"/>
    <n v="161"/>
    <n v="37"/>
    <n v="184034.12"/>
  </r>
  <r>
    <d v="2025-10-19T00:00:00"/>
    <x v="2"/>
    <x v="0"/>
    <n v="1908.57"/>
    <n v="185"/>
    <n v="29"/>
    <n v="79260.52"/>
  </r>
  <r>
    <d v="2025-03-06T00:00:00"/>
    <x v="2"/>
    <x v="1"/>
    <n v="7556.37"/>
    <n v="145"/>
    <n v="44"/>
    <n v="252515.42"/>
  </r>
  <r>
    <d v="2025-01-01T00:00:00"/>
    <x v="1"/>
    <x v="3"/>
    <n v="3312.85"/>
    <n v="160"/>
    <n v="38"/>
    <n v="190682.9"/>
  </r>
  <r>
    <d v="2025-06-07T00:00:00"/>
    <x v="1"/>
    <x v="1"/>
    <n v="3187.39"/>
    <n v="77"/>
    <n v="4"/>
    <n v="18523.43"/>
  </r>
  <r>
    <d v="2025-01-15T00:00:00"/>
    <x v="1"/>
    <x v="4"/>
    <n v="8535.59"/>
    <n v="162"/>
    <n v="54"/>
    <n v="272597.43"/>
  </r>
  <r>
    <d v="2025-05-08T00:00:00"/>
    <x v="3"/>
    <x v="2"/>
    <n v="13783.29"/>
    <n v="160"/>
    <n v="31"/>
    <n v="75369.77"/>
  </r>
  <r>
    <d v="2025-09-01T00:00:00"/>
    <x v="1"/>
    <x v="2"/>
    <n v="5909.17"/>
    <n v="35"/>
    <n v="5"/>
    <n v="16709.849999999999"/>
  </r>
  <r>
    <d v="2025-11-16T00:00:00"/>
    <x v="4"/>
    <x v="4"/>
    <n v="7542.77"/>
    <n v="49"/>
    <n v="18"/>
    <n v="100388.87"/>
  </r>
  <r>
    <d v="2025-07-09T00:00:00"/>
    <x v="4"/>
    <x v="4"/>
    <n v="12022.8"/>
    <n v="37"/>
    <n v="2"/>
    <n v="9579.65"/>
  </r>
  <r>
    <d v="2025-10-19T00:00:00"/>
    <x v="3"/>
    <x v="2"/>
    <n v="1699.75"/>
    <n v="45"/>
    <n v="18"/>
    <n v="74617.08"/>
  </r>
  <r>
    <d v="2025-11-10T00:00:00"/>
    <x v="2"/>
    <x v="0"/>
    <n v="3764.36"/>
    <n v="79"/>
    <n v="9"/>
    <n v="40741.199999999997"/>
  </r>
  <r>
    <d v="2025-11-08T00:00:00"/>
    <x v="2"/>
    <x v="0"/>
    <n v="12061.05"/>
    <n v="124"/>
    <n v="18"/>
    <n v="59799.69"/>
  </r>
  <r>
    <d v="2025-01-14T00:00:00"/>
    <x v="1"/>
    <x v="1"/>
    <n v="5614.26"/>
    <n v="99"/>
    <n v="1"/>
    <n v="3385.22"/>
  </r>
  <r>
    <d v="2025-10-15T00:00:00"/>
    <x v="0"/>
    <x v="2"/>
    <n v="13055.25"/>
    <n v="121"/>
    <n v="13"/>
    <n v="22587.54"/>
  </r>
  <r>
    <d v="2025-10-04T00:00:00"/>
    <x v="4"/>
    <x v="2"/>
    <n v="1553.02"/>
    <n v="136"/>
    <n v="33"/>
    <n v="179943.89"/>
  </r>
  <r>
    <d v="2025-12-02T00:00:00"/>
    <x v="1"/>
    <x v="1"/>
    <n v="6659.36"/>
    <n v="209"/>
    <n v="24"/>
    <n v="111276.32"/>
  </r>
  <r>
    <d v="2025-05-18T00:00:00"/>
    <x v="1"/>
    <x v="1"/>
    <n v="2490.4499999999998"/>
    <n v="94"/>
    <n v="26"/>
    <n v="69981.59"/>
  </r>
  <r>
    <d v="2025-12-31T00:00:00"/>
    <x v="2"/>
    <x v="4"/>
    <n v="5879.31"/>
    <n v="114"/>
    <n v="15"/>
    <n v="23885.32"/>
  </r>
  <r>
    <d v="2025-01-11T00:00:00"/>
    <x v="0"/>
    <x v="2"/>
    <n v="6565.97"/>
    <n v="208"/>
    <n v="45"/>
    <n v="82829.81"/>
  </r>
  <r>
    <d v="2025-07-15T00:00:00"/>
    <x v="1"/>
    <x v="0"/>
    <n v="4399.6899999999996"/>
    <n v="118"/>
    <n v="40"/>
    <n v="114366.14"/>
  </r>
  <r>
    <d v="2025-02-07T00:00:00"/>
    <x v="0"/>
    <x v="1"/>
    <n v="7552.37"/>
    <n v="238"/>
    <n v="76"/>
    <n v="408788.5"/>
  </r>
  <r>
    <d v="2025-12-19T00:00:00"/>
    <x v="4"/>
    <x v="1"/>
    <n v="12069.67"/>
    <n v="80"/>
    <n v="15"/>
    <n v="62089.2"/>
  </r>
  <r>
    <d v="2025-10-17T00:00:00"/>
    <x v="0"/>
    <x v="3"/>
    <n v="14001.69"/>
    <n v="80"/>
    <n v="22"/>
    <n v="38377.86"/>
  </r>
  <r>
    <d v="2025-05-12T00:00:00"/>
    <x v="4"/>
    <x v="0"/>
    <n v="6651.98"/>
    <n v="211"/>
    <n v="52"/>
    <n v="156171.26"/>
  </r>
  <r>
    <d v="2025-07-28T00:00:00"/>
    <x v="4"/>
    <x v="4"/>
    <n v="7607.02"/>
    <n v="109"/>
    <n v="43"/>
    <n v="109010.78"/>
  </r>
  <r>
    <d v="2025-02-04T00:00:00"/>
    <x v="3"/>
    <x v="1"/>
    <n v="14345.36"/>
    <n v="21"/>
    <n v="3"/>
    <n v="8049.82"/>
  </r>
  <r>
    <d v="2025-09-18T00:00:00"/>
    <x v="3"/>
    <x v="0"/>
    <n v="10689.31"/>
    <n v="104"/>
    <n v="24"/>
    <n v="138102.76999999999"/>
  </r>
  <r>
    <d v="2025-10-04T00:00:00"/>
    <x v="1"/>
    <x v="1"/>
    <n v="1444.66"/>
    <n v="93"/>
    <n v="17"/>
    <n v="77665.570000000007"/>
  </r>
  <r>
    <d v="2025-11-25T00:00:00"/>
    <x v="3"/>
    <x v="1"/>
    <n v="14680.19"/>
    <n v="217"/>
    <n v="66"/>
    <n v="216323.09"/>
  </r>
  <r>
    <d v="2025-08-08T00:00:00"/>
    <x v="0"/>
    <x v="4"/>
    <n v="12563.49"/>
    <n v="118"/>
    <n v="42"/>
    <n v="201805.35"/>
  </r>
  <r>
    <d v="2025-12-10T00:00:00"/>
    <x v="0"/>
    <x v="3"/>
    <n v="6947.01"/>
    <n v="98"/>
    <n v="19"/>
    <n v="67990.61"/>
  </r>
  <r>
    <d v="2025-01-25T00:00:00"/>
    <x v="1"/>
    <x v="2"/>
    <n v="8924.02"/>
    <n v="22"/>
    <n v="5"/>
    <n v="5366.33"/>
  </r>
  <r>
    <d v="2025-04-13T00:00:00"/>
    <x v="4"/>
    <x v="4"/>
    <n v="4785.92"/>
    <n v="113"/>
    <n v="16"/>
    <n v="47235.839999999997"/>
  </r>
  <r>
    <d v="2025-01-09T00:00:00"/>
    <x v="2"/>
    <x v="0"/>
    <n v="12637.32"/>
    <n v="120"/>
    <n v="37"/>
    <n v="66100.84"/>
  </r>
  <r>
    <d v="2025-03-28T00:00:00"/>
    <x v="0"/>
    <x v="0"/>
    <n v="10272.9"/>
    <n v="208"/>
    <n v="6"/>
    <n v="9801.7800000000007"/>
  </r>
  <r>
    <d v="2025-11-16T00:00:00"/>
    <x v="4"/>
    <x v="2"/>
    <n v="9030.99"/>
    <n v="145"/>
    <n v="6"/>
    <n v="14681.42"/>
  </r>
  <r>
    <d v="2025-09-17T00:00:00"/>
    <x v="1"/>
    <x v="0"/>
    <n v="10512.95"/>
    <n v="45"/>
    <n v="7"/>
    <n v="38886.019999999997"/>
  </r>
  <r>
    <d v="2025-01-02T00:00:00"/>
    <x v="4"/>
    <x v="3"/>
    <n v="5060.45"/>
    <n v="208"/>
    <n v="64"/>
    <n v="370607.09"/>
  </r>
  <r>
    <d v="2025-07-07T00:00:00"/>
    <x v="3"/>
    <x v="4"/>
    <n v="1380.42"/>
    <n v="72"/>
    <n v="15"/>
    <n v="86690.65"/>
  </r>
  <r>
    <d v="2025-06-10T00:00:00"/>
    <x v="4"/>
    <x v="3"/>
    <n v="3210.75"/>
    <n v="148"/>
    <n v="41"/>
    <n v="42123.19"/>
  </r>
  <r>
    <d v="2025-02-23T00:00:00"/>
    <x v="3"/>
    <x v="4"/>
    <n v="14011.23"/>
    <n v="228"/>
    <n v="24"/>
    <n v="95391.97"/>
  </r>
  <r>
    <d v="2025-12-21T00:00:00"/>
    <x v="2"/>
    <x v="1"/>
    <n v="11761.24"/>
    <n v="162"/>
    <n v="21"/>
    <n v="48455.75"/>
  </r>
  <r>
    <d v="2025-09-12T00:00:00"/>
    <x v="1"/>
    <x v="3"/>
    <n v="8096.66"/>
    <n v="226"/>
    <n v="58"/>
    <n v="86573.57"/>
  </r>
  <r>
    <d v="2025-06-03T00:00:00"/>
    <x v="1"/>
    <x v="2"/>
    <n v="12966.34"/>
    <n v="52"/>
    <n v="9"/>
    <n v="25910.799999999999"/>
  </r>
  <r>
    <d v="2025-03-08T00:00:00"/>
    <x v="2"/>
    <x v="4"/>
    <n v="1667.18"/>
    <n v="68"/>
    <n v="26"/>
    <n v="148650.53"/>
  </r>
  <r>
    <d v="2025-07-07T00:00:00"/>
    <x v="1"/>
    <x v="3"/>
    <n v="6476.14"/>
    <n v="188"/>
    <n v="24"/>
    <n v="116178.61"/>
  </r>
  <r>
    <d v="2025-05-17T00:00:00"/>
    <x v="1"/>
    <x v="1"/>
    <n v="8284.81"/>
    <n v="93"/>
    <n v="31"/>
    <n v="106444.94"/>
  </r>
  <r>
    <d v="2025-04-08T00:00:00"/>
    <x v="3"/>
    <x v="1"/>
    <n v="4232.68"/>
    <n v="104"/>
    <n v="35"/>
    <n v="102831.01"/>
  </r>
  <r>
    <d v="2025-10-27T00:00:00"/>
    <x v="2"/>
    <x v="1"/>
    <n v="8405.7999999999993"/>
    <n v="220"/>
    <n v="23"/>
    <n v="72764.070000000007"/>
  </r>
  <r>
    <d v="2025-11-27T00:00:00"/>
    <x v="4"/>
    <x v="4"/>
    <n v="10735.14"/>
    <n v="48"/>
    <n v="6"/>
    <n v="13959.52"/>
  </r>
  <r>
    <d v="2025-08-30T00:00:00"/>
    <x v="2"/>
    <x v="0"/>
    <n v="14633.75"/>
    <n v="113"/>
    <n v="43"/>
    <n v="228627.78"/>
  </r>
  <r>
    <d v="2025-12-09T00:00:00"/>
    <x v="1"/>
    <x v="2"/>
    <n v="3430.41"/>
    <n v="64"/>
    <n v="2"/>
    <n v="4584.8999999999996"/>
  </r>
  <r>
    <d v="2025-09-01T00:00:00"/>
    <x v="0"/>
    <x v="3"/>
    <n v="7339.7"/>
    <n v="107"/>
    <n v="37"/>
    <n v="177873.03"/>
  </r>
  <r>
    <d v="2025-11-24T00:00:00"/>
    <x v="0"/>
    <x v="3"/>
    <n v="13959.89"/>
    <n v="77"/>
    <n v="28"/>
    <n v="154738.95000000001"/>
  </r>
  <r>
    <d v="2025-07-03T00:00:00"/>
    <x v="1"/>
    <x v="2"/>
    <n v="9499.7099999999991"/>
    <n v="220"/>
    <n v="11"/>
    <n v="62973.33"/>
  </r>
  <r>
    <d v="2025-09-05T00:00:00"/>
    <x v="3"/>
    <x v="0"/>
    <n v="4810.6899999999996"/>
    <n v="102"/>
    <n v="38"/>
    <n v="184548.28"/>
  </r>
  <r>
    <d v="2025-06-25T00:00:00"/>
    <x v="1"/>
    <x v="3"/>
    <n v="13174.49"/>
    <n v="83"/>
    <n v="13"/>
    <n v="30223.63"/>
  </r>
  <r>
    <d v="2025-11-20T00:00:00"/>
    <x v="0"/>
    <x v="0"/>
    <n v="4916.1000000000004"/>
    <n v="119"/>
    <n v="8"/>
    <n v="45957.8"/>
  </r>
  <r>
    <d v="2025-11-07T00:00:00"/>
    <x v="2"/>
    <x v="3"/>
    <n v="3171.47"/>
    <n v="210"/>
    <n v="50"/>
    <n v="158017.19"/>
  </r>
  <r>
    <d v="2025-06-01T00:00:00"/>
    <x v="2"/>
    <x v="0"/>
    <n v="11745.37"/>
    <n v="146"/>
    <n v="13"/>
    <n v="27305.71"/>
  </r>
  <r>
    <d v="2025-01-09T00:00:00"/>
    <x v="4"/>
    <x v="0"/>
    <n v="3702.83"/>
    <n v="70"/>
    <n v="19"/>
    <n v="50853.74"/>
  </r>
  <r>
    <d v="2025-05-14T00:00:00"/>
    <x v="3"/>
    <x v="3"/>
    <n v="7323.57"/>
    <n v="66"/>
    <n v="8"/>
    <n v="33963.160000000003"/>
  </r>
  <r>
    <d v="2025-05-27T00:00:00"/>
    <x v="1"/>
    <x v="3"/>
    <n v="14669.08"/>
    <n v="80"/>
    <n v="13"/>
    <n v="54725.4"/>
  </r>
  <r>
    <d v="2025-09-26T00:00:00"/>
    <x v="4"/>
    <x v="0"/>
    <n v="7754.27"/>
    <n v="102"/>
    <n v="36"/>
    <n v="146614.5"/>
  </r>
  <r>
    <d v="2025-12-21T00:00:00"/>
    <x v="4"/>
    <x v="1"/>
    <n v="8875.85"/>
    <n v="95"/>
    <n v="7"/>
    <n v="33514.99"/>
  </r>
  <r>
    <d v="2025-08-25T00:00:00"/>
    <x v="2"/>
    <x v="0"/>
    <n v="9506.52"/>
    <n v="178"/>
    <n v="60"/>
    <n v="210027.77"/>
  </r>
  <r>
    <d v="2025-07-23T00:00:00"/>
    <x v="1"/>
    <x v="3"/>
    <n v="9183.44"/>
    <n v="122"/>
    <n v="31"/>
    <n v="58563.95"/>
  </r>
  <r>
    <d v="2025-03-07T00:00:00"/>
    <x v="1"/>
    <x v="3"/>
    <n v="12614.94"/>
    <n v="246"/>
    <n v="38"/>
    <n v="39043.980000000003"/>
  </r>
  <r>
    <d v="2025-11-16T00:00:00"/>
    <x v="2"/>
    <x v="2"/>
    <n v="12603.99"/>
    <n v="198"/>
    <n v="23"/>
    <n v="123403.03"/>
  </r>
  <r>
    <d v="2025-01-04T00:00:00"/>
    <x v="0"/>
    <x v="2"/>
    <n v="14918.05"/>
    <n v="61"/>
    <n v="21"/>
    <n v="53221.54"/>
  </r>
  <r>
    <d v="2025-02-15T00:00:00"/>
    <x v="0"/>
    <x v="0"/>
    <n v="11256.45"/>
    <n v="74"/>
    <n v="11"/>
    <n v="50123"/>
  </r>
  <r>
    <d v="2025-11-23T00:00:00"/>
    <x v="0"/>
    <x v="1"/>
    <n v="12860.1"/>
    <n v="168"/>
    <n v="37"/>
    <n v="173955.58"/>
  </r>
  <r>
    <d v="2025-11-16T00:00:00"/>
    <x v="2"/>
    <x v="1"/>
    <n v="4660.42"/>
    <n v="250"/>
    <n v="57"/>
    <n v="173364.83"/>
  </r>
  <r>
    <d v="2025-09-23T00:00:00"/>
    <x v="2"/>
    <x v="1"/>
    <n v="6955.35"/>
    <n v="128"/>
    <n v="32"/>
    <n v="122422.76"/>
  </r>
  <r>
    <d v="2025-03-24T00:00:00"/>
    <x v="3"/>
    <x v="2"/>
    <n v="7234.09"/>
    <n v="195"/>
    <n v="10"/>
    <n v="36532.01"/>
  </r>
  <r>
    <d v="2025-01-13T00:00:00"/>
    <x v="1"/>
    <x v="2"/>
    <n v="4165.7700000000004"/>
    <n v="178"/>
    <n v="30"/>
    <n v="136663.19"/>
  </r>
  <r>
    <d v="2025-09-11T00:00:00"/>
    <x v="1"/>
    <x v="4"/>
    <n v="11712.34"/>
    <n v="38"/>
    <n v="5"/>
    <n v="10974.73"/>
  </r>
  <r>
    <d v="2025-09-11T00:00:00"/>
    <x v="2"/>
    <x v="1"/>
    <n v="13090.53"/>
    <n v="202"/>
    <n v="16"/>
    <n v="56544.52"/>
  </r>
  <r>
    <d v="2025-03-14T00:00:00"/>
    <x v="1"/>
    <x v="4"/>
    <n v="12580.95"/>
    <n v="219"/>
    <n v="82"/>
    <n v="379383.14"/>
  </r>
  <r>
    <d v="2025-05-05T00:00:00"/>
    <x v="3"/>
    <x v="1"/>
    <n v="3402.72"/>
    <n v="150"/>
    <n v="36"/>
    <n v="69044.210000000006"/>
  </r>
  <r>
    <d v="2025-04-09T00:00:00"/>
    <x v="4"/>
    <x v="4"/>
    <n v="7311.28"/>
    <n v="37"/>
    <n v="14"/>
    <n v="74453.11"/>
  </r>
  <r>
    <d v="2025-06-14T00:00:00"/>
    <x v="3"/>
    <x v="4"/>
    <n v="4727.2700000000004"/>
    <n v="83"/>
    <n v="25"/>
    <n v="33774.97"/>
  </r>
  <r>
    <d v="2025-01-04T00:00:00"/>
    <x v="2"/>
    <x v="1"/>
    <n v="2240"/>
    <n v="188"/>
    <n v="49"/>
    <n v="274179.09000000003"/>
  </r>
  <r>
    <d v="2025-09-16T00:00:00"/>
    <x v="1"/>
    <x v="3"/>
    <n v="6088.48"/>
    <n v="235"/>
    <n v="43"/>
    <n v="84849.16"/>
  </r>
  <r>
    <d v="2025-10-19T00:00:00"/>
    <x v="4"/>
    <x v="2"/>
    <n v="8797.43"/>
    <n v="49"/>
    <n v="1"/>
    <n v="1344.71"/>
  </r>
  <r>
    <d v="2025-07-29T00:00:00"/>
    <x v="1"/>
    <x v="0"/>
    <n v="10495.44"/>
    <n v="195"/>
    <n v="9"/>
    <n v="44960.84"/>
  </r>
  <r>
    <d v="2025-07-04T00:00:00"/>
    <x v="0"/>
    <x v="0"/>
    <n v="13771.07"/>
    <n v="232"/>
    <n v="76"/>
    <n v="107776.26"/>
  </r>
  <r>
    <d v="2025-02-08T00:00:00"/>
    <x v="4"/>
    <x v="4"/>
    <n v="6820.52"/>
    <n v="140"/>
    <n v="41"/>
    <n v="183495.39"/>
  </r>
  <r>
    <d v="2025-07-17T00:00:00"/>
    <x v="0"/>
    <x v="3"/>
    <n v="13679.63"/>
    <n v="57"/>
    <n v="14"/>
    <n v="76704.14"/>
  </r>
  <r>
    <d v="2025-03-10T00:00:00"/>
    <x v="0"/>
    <x v="2"/>
    <n v="12869.2"/>
    <n v="103"/>
    <n v="28"/>
    <n v="76793.990000000005"/>
  </r>
  <r>
    <d v="2025-07-31T00:00:00"/>
    <x v="2"/>
    <x v="2"/>
    <n v="8715.43"/>
    <n v="240"/>
    <n v="85"/>
    <n v="397820.64"/>
  </r>
  <r>
    <d v="2025-06-20T00:00:00"/>
    <x v="3"/>
    <x v="1"/>
    <n v="12881.55"/>
    <n v="45"/>
    <n v="7"/>
    <n v="20637.59"/>
  </r>
  <r>
    <d v="2025-12-14T00:00:00"/>
    <x v="1"/>
    <x v="2"/>
    <n v="1179.3399999999999"/>
    <n v="76"/>
    <n v="14"/>
    <n v="37030.6"/>
  </r>
  <r>
    <d v="2025-11-01T00:00:00"/>
    <x v="4"/>
    <x v="1"/>
    <n v="4336.03"/>
    <n v="194"/>
    <n v="41"/>
    <n v="146332.25"/>
  </r>
  <r>
    <d v="2025-10-07T00:00:00"/>
    <x v="0"/>
    <x v="3"/>
    <n v="9940.3799999999992"/>
    <n v="149"/>
    <n v="55"/>
    <n v="198989.98"/>
  </r>
  <r>
    <d v="2025-06-08T00:00:00"/>
    <x v="0"/>
    <x v="3"/>
    <n v="8012.52"/>
    <n v="249"/>
    <n v="95"/>
    <n v="438156.22"/>
  </r>
  <r>
    <d v="2025-09-11T00:00:00"/>
    <x v="2"/>
    <x v="2"/>
    <n v="13477.24"/>
    <n v="102"/>
    <n v="18"/>
    <n v="36147.870000000003"/>
  </r>
  <r>
    <d v="2025-12-24T00:00:00"/>
    <x v="1"/>
    <x v="3"/>
    <n v="11708.84"/>
    <n v="76"/>
    <n v="26"/>
    <n v="85651.45"/>
  </r>
  <r>
    <d v="2025-06-21T00:00:00"/>
    <x v="4"/>
    <x v="0"/>
    <n v="6770.34"/>
    <n v="185"/>
    <n v="52"/>
    <n v="180774.31"/>
  </r>
  <r>
    <d v="2025-01-22T00:00:00"/>
    <x v="4"/>
    <x v="0"/>
    <n v="10313.299999999999"/>
    <n v="193"/>
    <n v="28"/>
    <n v="46795.6"/>
  </r>
  <r>
    <d v="2025-07-12T00:00:00"/>
    <x v="0"/>
    <x v="0"/>
    <n v="9840.0400000000009"/>
    <n v="121"/>
    <n v="3"/>
    <n v="11173.5"/>
  </r>
  <r>
    <d v="2025-06-21T00:00:00"/>
    <x v="4"/>
    <x v="4"/>
    <n v="8894.89"/>
    <n v="155"/>
    <n v="61"/>
    <n v="163288.62"/>
  </r>
  <r>
    <d v="2025-05-08T00:00:00"/>
    <x v="0"/>
    <x v="0"/>
    <n v="7013.1"/>
    <n v="182"/>
    <n v="61"/>
    <n v="108726.32"/>
  </r>
  <r>
    <d v="2025-05-09T00:00:00"/>
    <x v="3"/>
    <x v="3"/>
    <n v="7288.37"/>
    <n v="94"/>
    <n v="25"/>
    <n v="37598.660000000003"/>
  </r>
  <r>
    <d v="2025-01-20T00:00:00"/>
    <x v="3"/>
    <x v="0"/>
    <n v="10250.5"/>
    <n v="250"/>
    <n v="31"/>
    <n v="140021"/>
  </r>
  <r>
    <d v="2025-03-24T00:00:00"/>
    <x v="1"/>
    <x v="3"/>
    <n v="8710.83"/>
    <n v="102"/>
    <n v="6"/>
    <n v="25005.75"/>
  </r>
  <r>
    <d v="2025-05-22T00:00:00"/>
    <x v="1"/>
    <x v="4"/>
    <n v="14047.4"/>
    <n v="171"/>
    <n v="47"/>
    <n v="133935.93"/>
  </r>
  <r>
    <d v="2025-07-17T00:00:00"/>
    <x v="4"/>
    <x v="4"/>
    <n v="2748.97"/>
    <n v="70"/>
    <n v="11"/>
    <n v="12760.5"/>
  </r>
  <r>
    <d v="2025-11-02T00:00:00"/>
    <x v="2"/>
    <x v="2"/>
    <n v="14280.6"/>
    <n v="48"/>
    <n v="9"/>
    <n v="53853.760000000002"/>
  </r>
  <r>
    <d v="2025-08-11T00:00:00"/>
    <x v="2"/>
    <x v="3"/>
    <n v="13573.93"/>
    <n v="136"/>
    <n v="49"/>
    <n v="292418.53999999998"/>
  </r>
  <r>
    <d v="2025-02-09T00:00:00"/>
    <x v="1"/>
    <x v="3"/>
    <n v="14762.93"/>
    <n v="101"/>
    <n v="23"/>
    <n v="40710.239999999998"/>
  </r>
  <r>
    <d v="2025-08-23T00:00:00"/>
    <x v="0"/>
    <x v="3"/>
    <n v="12301.46"/>
    <n v="150"/>
    <n v="26"/>
    <n v="59823.6"/>
  </r>
  <r>
    <d v="2025-03-19T00:00:00"/>
    <x v="1"/>
    <x v="0"/>
    <n v="2896.47"/>
    <n v="196"/>
    <n v="28"/>
    <n v="116451.83"/>
  </r>
  <r>
    <d v="2025-10-27T00:00:00"/>
    <x v="0"/>
    <x v="3"/>
    <n v="13145.15"/>
    <n v="241"/>
    <n v="9"/>
    <n v="41542.92"/>
  </r>
  <r>
    <d v="2025-09-24T00:00:00"/>
    <x v="4"/>
    <x v="0"/>
    <n v="10919.5"/>
    <n v="22"/>
    <n v="1"/>
    <n v="1266.82"/>
  </r>
  <r>
    <d v="2025-11-04T00:00:00"/>
    <x v="1"/>
    <x v="2"/>
    <n v="5223.63"/>
    <n v="217"/>
    <n v="65"/>
    <n v="115201.83"/>
  </r>
  <r>
    <d v="2025-04-27T00:00:00"/>
    <x v="3"/>
    <x v="4"/>
    <n v="2470.7800000000002"/>
    <n v="171"/>
    <n v="54"/>
    <n v="243136.7"/>
  </r>
  <r>
    <d v="2025-08-29T00:00:00"/>
    <x v="2"/>
    <x v="1"/>
    <n v="7848.8"/>
    <n v="186"/>
    <n v="71"/>
    <n v="237426.82"/>
  </r>
  <r>
    <d v="2025-06-21T00:00:00"/>
    <x v="1"/>
    <x v="2"/>
    <n v="12937.26"/>
    <n v="71"/>
    <n v="27"/>
    <n v="66030.05"/>
  </r>
  <r>
    <d v="2025-03-29T00:00:00"/>
    <x v="4"/>
    <x v="0"/>
    <n v="11187.82"/>
    <n v="113"/>
    <n v="1"/>
    <n v="4506.3500000000004"/>
  </r>
  <r>
    <d v="2025-09-28T00:00:00"/>
    <x v="0"/>
    <x v="2"/>
    <n v="14251.88"/>
    <n v="212"/>
    <n v="11"/>
    <n v="50834.09"/>
  </r>
  <r>
    <d v="2025-12-15T00:00:00"/>
    <x v="2"/>
    <x v="3"/>
    <n v="11091.82"/>
    <n v="215"/>
    <n v="83"/>
    <n v="158375.65"/>
  </r>
  <r>
    <d v="2025-05-16T00:00:00"/>
    <x v="4"/>
    <x v="0"/>
    <n v="12722.48"/>
    <n v="166"/>
    <n v="35"/>
    <n v="122986.73"/>
  </r>
  <r>
    <d v="2025-02-04T00:00:00"/>
    <x v="4"/>
    <x v="4"/>
    <n v="11709.01"/>
    <n v="36"/>
    <n v="5"/>
    <n v="8052.41"/>
  </r>
  <r>
    <d v="2025-11-26T00:00:00"/>
    <x v="0"/>
    <x v="4"/>
    <n v="2714.06"/>
    <n v="90"/>
    <n v="8"/>
    <n v="33658.33"/>
  </r>
  <r>
    <d v="2025-07-24T00:00:00"/>
    <x v="4"/>
    <x v="4"/>
    <n v="5943.41"/>
    <n v="67"/>
    <n v="16"/>
    <n v="90168.18"/>
  </r>
  <r>
    <d v="2025-04-26T00:00:00"/>
    <x v="1"/>
    <x v="2"/>
    <n v="9911.2999999999993"/>
    <n v="132"/>
    <n v="16"/>
    <n v="28058.63"/>
  </r>
  <r>
    <d v="2025-09-04T00:00:00"/>
    <x v="1"/>
    <x v="0"/>
    <n v="14659.93"/>
    <n v="81"/>
    <n v="9"/>
    <n v="42596.84"/>
  </r>
  <r>
    <d v="2025-09-11T00:00:00"/>
    <x v="1"/>
    <x v="0"/>
    <n v="3828.66"/>
    <n v="195"/>
    <n v="47"/>
    <n v="261636"/>
  </r>
  <r>
    <d v="2025-09-12T00:00:00"/>
    <x v="3"/>
    <x v="0"/>
    <n v="9866.94"/>
    <n v="115"/>
    <n v="16"/>
    <n v="26663.17"/>
  </r>
  <r>
    <d v="2025-03-13T00:00:00"/>
    <x v="2"/>
    <x v="1"/>
    <n v="8204.4"/>
    <n v="239"/>
    <n v="59"/>
    <n v="238348.26"/>
  </r>
  <r>
    <d v="2025-04-01T00:00:00"/>
    <x v="3"/>
    <x v="4"/>
    <n v="10959.95"/>
    <n v="178"/>
    <n v="24"/>
    <n v="116366.46"/>
  </r>
  <r>
    <d v="2025-07-13T00:00:00"/>
    <x v="0"/>
    <x v="1"/>
    <n v="5272.56"/>
    <n v="157"/>
    <n v="36"/>
    <n v="93600.2"/>
  </r>
  <r>
    <d v="2025-07-26T00:00:00"/>
    <x v="4"/>
    <x v="1"/>
    <n v="3802.07"/>
    <n v="45"/>
    <n v="15"/>
    <n v="83638.31"/>
  </r>
  <r>
    <d v="2025-01-08T00:00:00"/>
    <x v="2"/>
    <x v="3"/>
    <n v="7716.73"/>
    <n v="208"/>
    <n v="75"/>
    <n v="156851.38"/>
  </r>
  <r>
    <d v="2025-03-06T00:00:00"/>
    <x v="4"/>
    <x v="2"/>
    <n v="5439.36"/>
    <n v="74"/>
    <n v="12"/>
    <n v="67803.88"/>
  </r>
  <r>
    <d v="2025-08-27T00:00:00"/>
    <x v="0"/>
    <x v="4"/>
    <n v="8355.83"/>
    <n v="34"/>
    <n v="5"/>
    <n v="12038.85"/>
  </r>
  <r>
    <d v="2025-01-15T00:00:00"/>
    <x v="2"/>
    <x v="1"/>
    <n v="1199.9000000000001"/>
    <n v="122"/>
    <n v="32"/>
    <n v="157011.60999999999"/>
  </r>
  <r>
    <d v="2025-04-30T00:00:00"/>
    <x v="2"/>
    <x v="4"/>
    <n v="2653.17"/>
    <n v="162"/>
    <n v="18"/>
    <n v="42708.37"/>
  </r>
  <r>
    <d v="2025-10-17T00:00:00"/>
    <x v="4"/>
    <x v="4"/>
    <n v="9159.1299999999992"/>
    <n v="45"/>
    <n v="14"/>
    <n v="36163.199999999997"/>
  </r>
  <r>
    <d v="2025-11-07T00:00:00"/>
    <x v="4"/>
    <x v="1"/>
    <n v="3476.94"/>
    <n v="181"/>
    <n v="29"/>
    <n v="29199.200000000001"/>
  </r>
  <r>
    <d v="2025-08-14T00:00:00"/>
    <x v="2"/>
    <x v="2"/>
    <n v="1144.23"/>
    <n v="204"/>
    <n v="75"/>
    <n v="188771.03"/>
  </r>
  <r>
    <d v="2025-06-18T00:00:00"/>
    <x v="1"/>
    <x v="2"/>
    <n v="4711.96"/>
    <n v="130"/>
    <n v="37"/>
    <n v="185544.04"/>
  </r>
  <r>
    <d v="2025-07-28T00:00:00"/>
    <x v="0"/>
    <x v="0"/>
    <n v="2273.17"/>
    <n v="185"/>
    <n v="60"/>
    <n v="82352.66"/>
  </r>
  <r>
    <d v="2025-12-11T00:00:00"/>
    <x v="4"/>
    <x v="0"/>
    <n v="10639.37"/>
    <n v="39"/>
    <n v="7"/>
    <n v="17270.8"/>
  </r>
  <r>
    <d v="2025-08-25T00:00:00"/>
    <x v="1"/>
    <x v="0"/>
    <n v="8680.41"/>
    <n v="46"/>
    <n v="1"/>
    <n v="3864.96"/>
  </r>
  <r>
    <d v="2025-03-05T00:00:00"/>
    <x v="3"/>
    <x v="1"/>
    <n v="2744.77"/>
    <n v="69"/>
    <n v="13"/>
    <n v="24425.62"/>
  </r>
  <r>
    <d v="2025-04-09T00:00:00"/>
    <x v="3"/>
    <x v="0"/>
    <n v="4777.1899999999996"/>
    <n v="41"/>
    <n v="5"/>
    <n v="25837.75"/>
  </r>
  <r>
    <d v="2025-07-06T00:00:00"/>
    <x v="3"/>
    <x v="3"/>
    <n v="12200.67"/>
    <n v="201"/>
    <n v="25"/>
    <n v="95814.5"/>
  </r>
  <r>
    <d v="2025-08-30T00:00:00"/>
    <x v="2"/>
    <x v="0"/>
    <n v="9236.4"/>
    <n v="120"/>
    <n v="18"/>
    <n v="21895.4"/>
  </r>
  <r>
    <d v="2025-10-10T00:00:00"/>
    <x v="3"/>
    <x v="3"/>
    <n v="12737.19"/>
    <n v="213"/>
    <n v="35"/>
    <n v="39885.730000000003"/>
  </r>
  <r>
    <d v="2025-06-20T00:00:00"/>
    <x v="2"/>
    <x v="1"/>
    <n v="7445.2"/>
    <n v="147"/>
    <n v="42"/>
    <n v="228321.41"/>
  </r>
  <r>
    <d v="2025-09-22T00:00:00"/>
    <x v="0"/>
    <x v="2"/>
    <n v="10690.16"/>
    <n v="162"/>
    <n v="45"/>
    <n v="67653.62"/>
  </r>
  <r>
    <d v="2025-09-28T00:00:00"/>
    <x v="3"/>
    <x v="0"/>
    <n v="1332.25"/>
    <n v="145"/>
    <n v="1"/>
    <n v="3780.11"/>
  </r>
  <r>
    <d v="2025-05-10T00:00:00"/>
    <x v="1"/>
    <x v="2"/>
    <n v="4940.8599999999997"/>
    <n v="232"/>
    <n v="81"/>
    <n v="315534.53000000003"/>
  </r>
  <r>
    <d v="2025-07-30T00:00:00"/>
    <x v="0"/>
    <x v="4"/>
    <n v="7710.38"/>
    <n v="159"/>
    <n v="40"/>
    <n v="90405.99"/>
  </r>
  <r>
    <d v="2025-06-03T00:00:00"/>
    <x v="3"/>
    <x v="3"/>
    <n v="11215.94"/>
    <n v="246"/>
    <n v="16"/>
    <n v="33986.29"/>
  </r>
  <r>
    <d v="2025-12-07T00:00:00"/>
    <x v="0"/>
    <x v="2"/>
    <n v="4832.43"/>
    <n v="102"/>
    <n v="33"/>
    <n v="39597.82"/>
  </r>
  <r>
    <d v="2025-06-29T00:00:00"/>
    <x v="1"/>
    <x v="4"/>
    <n v="3610.58"/>
    <n v="224"/>
    <n v="64"/>
    <n v="242020.76"/>
  </r>
  <r>
    <d v="2025-04-30T00:00:00"/>
    <x v="1"/>
    <x v="1"/>
    <n v="13254.2"/>
    <n v="197"/>
    <n v="36"/>
    <n v="163203.74"/>
  </r>
  <r>
    <d v="2025-09-01T00:00:00"/>
    <x v="0"/>
    <x v="2"/>
    <n v="14942.42"/>
    <n v="125"/>
    <n v="42"/>
    <n v="86693.19"/>
  </r>
  <r>
    <d v="2025-04-06T00:00:00"/>
    <x v="3"/>
    <x v="1"/>
    <n v="10535.72"/>
    <n v="162"/>
    <n v="56"/>
    <n v="168606.51"/>
  </r>
  <r>
    <d v="2025-06-19T00:00:00"/>
    <x v="1"/>
    <x v="2"/>
    <n v="14751.71"/>
    <n v="219"/>
    <n v="12"/>
    <n v="53555.7"/>
  </r>
  <r>
    <d v="2025-05-08T00:00:00"/>
    <x v="3"/>
    <x v="1"/>
    <n v="5951.95"/>
    <n v="118"/>
    <n v="4"/>
    <n v="6169.21"/>
  </r>
  <r>
    <d v="2025-07-31T00:00:00"/>
    <x v="2"/>
    <x v="4"/>
    <n v="13275.38"/>
    <n v="135"/>
    <n v="6"/>
    <n v="25572.12"/>
  </r>
  <r>
    <d v="2025-10-09T00:00:00"/>
    <x v="3"/>
    <x v="0"/>
    <n v="12369.53"/>
    <n v="202"/>
    <n v="66"/>
    <n v="134214.5"/>
  </r>
  <r>
    <d v="2025-12-10T00:00:00"/>
    <x v="0"/>
    <x v="1"/>
    <n v="4602.25"/>
    <n v="204"/>
    <n v="36"/>
    <n v="109181.36"/>
  </r>
  <r>
    <d v="2025-08-19T00:00:00"/>
    <x v="4"/>
    <x v="2"/>
    <n v="7973.72"/>
    <n v="105"/>
    <n v="33"/>
    <n v="115326.72"/>
  </r>
  <r>
    <d v="2025-08-08T00:00:00"/>
    <x v="1"/>
    <x v="0"/>
    <n v="3848.03"/>
    <n v="123"/>
    <n v="37"/>
    <n v="42447.87"/>
  </r>
  <r>
    <d v="2025-09-27T00:00:00"/>
    <x v="4"/>
    <x v="4"/>
    <n v="13919"/>
    <n v="188"/>
    <n v="30"/>
    <n v="33382.32"/>
  </r>
  <r>
    <d v="2025-01-17T00:00:00"/>
    <x v="1"/>
    <x v="2"/>
    <n v="12346.85"/>
    <n v="101"/>
    <n v="17"/>
    <n v="72661.039999999994"/>
  </r>
  <r>
    <d v="2025-02-28T00:00:00"/>
    <x v="3"/>
    <x v="3"/>
    <n v="13684.82"/>
    <n v="199"/>
    <n v="8"/>
    <n v="24666.93"/>
  </r>
  <r>
    <d v="2025-10-24T00:00:00"/>
    <x v="2"/>
    <x v="4"/>
    <n v="11702.11"/>
    <n v="36"/>
    <n v="10"/>
    <n v="17866.7"/>
  </r>
  <r>
    <d v="2025-05-05T00:00:00"/>
    <x v="1"/>
    <x v="3"/>
    <n v="14569.78"/>
    <n v="41"/>
    <n v="9"/>
    <n v="45150.31"/>
  </r>
  <r>
    <d v="2025-08-18T00:00:00"/>
    <x v="2"/>
    <x v="3"/>
    <n v="14778.45"/>
    <n v="235"/>
    <n v="29"/>
    <n v="158956.07"/>
  </r>
  <r>
    <d v="2025-06-07T00:00:00"/>
    <x v="0"/>
    <x v="1"/>
    <n v="7135.96"/>
    <n v="94"/>
    <n v="8"/>
    <n v="25856.12"/>
  </r>
  <r>
    <d v="2025-06-15T00:00:00"/>
    <x v="2"/>
    <x v="0"/>
    <n v="11951.85"/>
    <n v="193"/>
    <n v="5"/>
    <n v="6050.29"/>
  </r>
  <r>
    <d v="2025-05-28T00:00:00"/>
    <x v="1"/>
    <x v="4"/>
    <n v="8635.4599999999991"/>
    <n v="115"/>
    <n v="18"/>
    <n v="81866.94"/>
  </r>
  <r>
    <d v="2025-05-27T00:00:00"/>
    <x v="4"/>
    <x v="3"/>
    <n v="5506.23"/>
    <n v="166"/>
    <n v="16"/>
    <n v="49796.91"/>
  </r>
  <r>
    <d v="2025-02-17T00:00:00"/>
    <x v="2"/>
    <x v="0"/>
    <n v="1141.71"/>
    <n v="225"/>
    <n v="87"/>
    <n v="346787.84000000003"/>
  </r>
  <r>
    <d v="2025-06-22T00:00:00"/>
    <x v="0"/>
    <x v="0"/>
    <n v="11382.12"/>
    <n v="98"/>
    <n v="39"/>
    <n v="80583.600000000006"/>
  </r>
  <r>
    <d v="2025-12-10T00:00:00"/>
    <x v="2"/>
    <x v="2"/>
    <n v="7185.24"/>
    <n v="181"/>
    <n v="49"/>
    <n v="275490.95"/>
  </r>
  <r>
    <d v="2025-08-22T00:00:00"/>
    <x v="3"/>
    <x v="3"/>
    <n v="5955.78"/>
    <n v="42"/>
    <n v="16"/>
    <n v="64130.85"/>
  </r>
  <r>
    <d v="2025-04-25T00:00:00"/>
    <x v="1"/>
    <x v="4"/>
    <n v="14726.83"/>
    <n v="203"/>
    <n v="13"/>
    <n v="31339.86"/>
  </r>
  <r>
    <d v="2025-03-19T00:00:00"/>
    <x v="4"/>
    <x v="1"/>
    <n v="1008.95"/>
    <n v="170"/>
    <n v="56"/>
    <n v="76066.759999999995"/>
  </r>
  <r>
    <d v="2025-12-15T00:00:00"/>
    <x v="4"/>
    <x v="0"/>
    <n v="4857.41"/>
    <n v="115"/>
    <n v="16"/>
    <n v="55436.66"/>
  </r>
  <r>
    <d v="2025-10-21T00:00:00"/>
    <x v="4"/>
    <x v="4"/>
    <n v="1908.67"/>
    <n v="250"/>
    <n v="92"/>
    <n v="198810.98"/>
  </r>
  <r>
    <d v="2025-04-02T00:00:00"/>
    <x v="4"/>
    <x v="4"/>
    <n v="13290.89"/>
    <n v="165"/>
    <n v="46"/>
    <n v="138937.59"/>
  </r>
  <r>
    <d v="2025-04-05T00:00:00"/>
    <x v="0"/>
    <x v="3"/>
    <n v="13210.3"/>
    <n v="209"/>
    <n v="34"/>
    <n v="59286.81"/>
  </r>
  <r>
    <d v="2025-08-02T00:00:00"/>
    <x v="3"/>
    <x v="0"/>
    <n v="8392.66"/>
    <n v="112"/>
    <n v="39"/>
    <n v="195618.28"/>
  </r>
  <r>
    <d v="2025-07-27T00:00:00"/>
    <x v="1"/>
    <x v="0"/>
    <n v="9453.83"/>
    <n v="44"/>
    <n v="1"/>
    <n v="5508.66"/>
  </r>
  <r>
    <d v="2025-12-11T00:00:00"/>
    <x v="4"/>
    <x v="3"/>
    <n v="13400.57"/>
    <n v="174"/>
    <n v="50"/>
    <n v="143150.07999999999"/>
  </r>
  <r>
    <d v="2025-09-19T00:00:00"/>
    <x v="0"/>
    <x v="2"/>
    <n v="5489.86"/>
    <n v="247"/>
    <n v="17"/>
    <n v="84438.44"/>
  </r>
  <r>
    <d v="2025-12-26T00:00:00"/>
    <x v="4"/>
    <x v="4"/>
    <n v="10329.76"/>
    <n v="33"/>
    <n v="5"/>
    <n v="29266.7"/>
  </r>
  <r>
    <d v="2025-06-15T00:00:00"/>
    <x v="0"/>
    <x v="2"/>
    <n v="4832.18"/>
    <n v="211"/>
    <n v="15"/>
    <n v="66128.11"/>
  </r>
  <r>
    <d v="2025-11-07T00:00:00"/>
    <x v="4"/>
    <x v="3"/>
    <n v="8613.24"/>
    <n v="217"/>
    <n v="86"/>
    <n v="191407.64"/>
  </r>
  <r>
    <d v="2025-05-12T00:00:00"/>
    <x v="4"/>
    <x v="2"/>
    <n v="14740.1"/>
    <n v="167"/>
    <n v="50"/>
    <n v="201784.87"/>
  </r>
  <r>
    <d v="2025-05-03T00:00:00"/>
    <x v="3"/>
    <x v="4"/>
    <n v="3849.05"/>
    <n v="53"/>
    <n v="7"/>
    <n v="23428.6"/>
  </r>
  <r>
    <d v="2025-07-13T00:00:00"/>
    <x v="4"/>
    <x v="2"/>
    <n v="2971.05"/>
    <n v="168"/>
    <n v="3"/>
    <n v="6018.75"/>
  </r>
  <r>
    <d v="2025-02-12T00:00:00"/>
    <x v="4"/>
    <x v="4"/>
    <n v="5784.57"/>
    <n v="90"/>
    <n v="26"/>
    <n v="127735.75"/>
  </r>
  <r>
    <d v="2025-10-06T00:00:00"/>
    <x v="3"/>
    <x v="4"/>
    <n v="13459.25"/>
    <n v="59"/>
    <n v="20"/>
    <n v="34758.86"/>
  </r>
  <r>
    <d v="2025-12-30T00:00:00"/>
    <x v="3"/>
    <x v="3"/>
    <n v="6890.17"/>
    <n v="171"/>
    <n v="49"/>
    <n v="122470.07"/>
  </r>
  <r>
    <d v="2025-02-11T00:00:00"/>
    <x v="2"/>
    <x v="3"/>
    <n v="6598.98"/>
    <n v="158"/>
    <n v="45"/>
    <n v="126437.99"/>
  </r>
  <r>
    <d v="2025-05-14T00:00:00"/>
    <x v="0"/>
    <x v="1"/>
    <n v="7710.12"/>
    <n v="231"/>
    <n v="24"/>
    <n v="108127.5"/>
  </r>
  <r>
    <d v="2025-02-15T00:00:00"/>
    <x v="1"/>
    <x v="4"/>
    <n v="3291.72"/>
    <n v="66"/>
    <n v="14"/>
    <n v="78432.479999999996"/>
  </r>
  <r>
    <d v="2025-02-03T00:00:00"/>
    <x v="2"/>
    <x v="4"/>
    <n v="2901.71"/>
    <n v="201"/>
    <n v="50"/>
    <n v="233656.7"/>
  </r>
  <r>
    <d v="2025-04-28T00:00:00"/>
    <x v="0"/>
    <x v="3"/>
    <n v="14853.19"/>
    <n v="157"/>
    <n v="11"/>
    <n v="21228.74"/>
  </r>
  <r>
    <d v="2025-08-28T00:00:00"/>
    <x v="3"/>
    <x v="4"/>
    <n v="4888.84"/>
    <n v="225"/>
    <n v="1"/>
    <n v="4301.33"/>
  </r>
  <r>
    <d v="2025-01-04T00:00:00"/>
    <x v="2"/>
    <x v="4"/>
    <n v="6005.19"/>
    <n v="165"/>
    <n v="8"/>
    <n v="34158.379999999997"/>
  </r>
  <r>
    <d v="2025-10-24T00:00:00"/>
    <x v="3"/>
    <x v="1"/>
    <n v="10719.08"/>
    <n v="192"/>
    <n v="74"/>
    <n v="177493.68"/>
  </r>
  <r>
    <d v="2025-06-22T00:00:00"/>
    <x v="0"/>
    <x v="3"/>
    <n v="1635.66"/>
    <n v="145"/>
    <n v="22"/>
    <n v="72974.03"/>
  </r>
  <r>
    <d v="2025-08-14T00:00:00"/>
    <x v="2"/>
    <x v="2"/>
    <n v="5986.22"/>
    <n v="83"/>
    <n v="7"/>
    <n v="31039.49"/>
  </r>
  <r>
    <d v="2025-08-23T00:00:00"/>
    <x v="1"/>
    <x v="3"/>
    <n v="2018.9"/>
    <n v="240"/>
    <n v="96"/>
    <n v="161637.99"/>
  </r>
  <r>
    <d v="2025-02-23T00:00:00"/>
    <x v="3"/>
    <x v="1"/>
    <n v="11148.95"/>
    <n v="124"/>
    <n v="43"/>
    <n v="180630"/>
  </r>
  <r>
    <d v="2025-05-02T00:00:00"/>
    <x v="0"/>
    <x v="0"/>
    <n v="3078.55"/>
    <n v="225"/>
    <n v="16"/>
    <n v="74040.06"/>
  </r>
  <r>
    <d v="2025-03-09T00:00:00"/>
    <x v="1"/>
    <x v="0"/>
    <n v="9058.14"/>
    <n v="221"/>
    <n v="36"/>
    <n v="155804.51999999999"/>
  </r>
  <r>
    <d v="2025-08-19T00:00:00"/>
    <x v="2"/>
    <x v="0"/>
    <n v="12415.96"/>
    <n v="93"/>
    <n v="24"/>
    <n v="71881.490000000005"/>
  </r>
  <r>
    <d v="2025-07-09T00:00:00"/>
    <x v="1"/>
    <x v="3"/>
    <n v="10894.28"/>
    <n v="158"/>
    <n v="7"/>
    <n v="40100.769999999997"/>
  </r>
  <r>
    <d v="2025-05-19T00:00:00"/>
    <x v="2"/>
    <x v="4"/>
    <n v="9491.76"/>
    <n v="168"/>
    <n v="2"/>
    <n v="9185.68"/>
  </r>
  <r>
    <d v="2025-03-30T00:00:00"/>
    <x v="4"/>
    <x v="2"/>
    <n v="12684.54"/>
    <n v="242"/>
    <n v="89"/>
    <n v="284908.06"/>
  </r>
  <r>
    <d v="2025-01-22T00:00:00"/>
    <x v="1"/>
    <x v="2"/>
    <n v="8965.08"/>
    <n v="110"/>
    <n v="9"/>
    <n v="44324.44"/>
  </r>
  <r>
    <d v="2025-12-16T00:00:00"/>
    <x v="4"/>
    <x v="4"/>
    <n v="11761.29"/>
    <n v="227"/>
    <n v="29"/>
    <n v="158323.70000000001"/>
  </r>
  <r>
    <d v="2025-04-27T00:00:00"/>
    <x v="1"/>
    <x v="4"/>
    <n v="9544.26"/>
    <n v="133"/>
    <n v="38"/>
    <n v="102355.27"/>
  </r>
  <r>
    <d v="2025-06-28T00:00:00"/>
    <x v="0"/>
    <x v="3"/>
    <n v="3129.17"/>
    <n v="95"/>
    <n v="10"/>
    <n v="22847.09"/>
  </r>
  <r>
    <d v="2025-03-22T00:00:00"/>
    <x v="0"/>
    <x v="0"/>
    <n v="14068.75"/>
    <n v="235"/>
    <n v="80"/>
    <n v="203922.37"/>
  </r>
  <r>
    <d v="2025-08-25T00:00:00"/>
    <x v="1"/>
    <x v="0"/>
    <n v="1074.57"/>
    <n v="209"/>
    <n v="69"/>
    <n v="351016.7"/>
  </r>
  <r>
    <d v="2025-08-13T00:00:00"/>
    <x v="1"/>
    <x v="3"/>
    <n v="4674.42"/>
    <n v="179"/>
    <n v="66"/>
    <n v="121588.79"/>
  </r>
  <r>
    <d v="2025-10-19T00:00:00"/>
    <x v="0"/>
    <x v="0"/>
    <n v="6063.44"/>
    <n v="224"/>
    <n v="80"/>
    <n v="473920.85"/>
  </r>
  <r>
    <d v="2025-12-10T00:00:00"/>
    <x v="1"/>
    <x v="4"/>
    <n v="13522.41"/>
    <n v="27"/>
    <n v="9"/>
    <n v="45802.35"/>
  </r>
  <r>
    <d v="2025-08-30T00:00:00"/>
    <x v="2"/>
    <x v="2"/>
    <n v="6854.55"/>
    <n v="173"/>
    <n v="27"/>
    <n v="142400.93"/>
  </r>
  <r>
    <d v="2025-10-15T00:00:00"/>
    <x v="1"/>
    <x v="0"/>
    <n v="9917.01"/>
    <n v="242"/>
    <n v="43"/>
    <n v="108833.60000000001"/>
  </r>
  <r>
    <d v="2025-12-10T00:00:00"/>
    <x v="3"/>
    <x v="1"/>
    <n v="3746.19"/>
    <n v="243"/>
    <n v="46"/>
    <n v="47538.64"/>
  </r>
  <r>
    <d v="2025-02-25T00:00:00"/>
    <x v="2"/>
    <x v="2"/>
    <n v="4810.25"/>
    <n v="118"/>
    <n v="11"/>
    <n v="22813.07"/>
  </r>
  <r>
    <d v="2025-11-18T00:00:00"/>
    <x v="1"/>
    <x v="3"/>
    <n v="10098.76"/>
    <n v="129"/>
    <n v="36"/>
    <n v="112109.84"/>
  </r>
  <r>
    <d v="2025-01-21T00:00:00"/>
    <x v="1"/>
    <x v="3"/>
    <n v="10282.870000000001"/>
    <n v="248"/>
    <n v="21"/>
    <n v="99529.37"/>
  </r>
  <r>
    <d v="2025-08-18T00:00:00"/>
    <x v="0"/>
    <x v="3"/>
    <n v="8284.1299999999992"/>
    <n v="83"/>
    <n v="13"/>
    <n v="76109.89"/>
  </r>
  <r>
    <d v="2025-11-29T00:00:00"/>
    <x v="2"/>
    <x v="3"/>
    <n v="8119.79"/>
    <n v="248"/>
    <n v="22"/>
    <n v="119125.3"/>
  </r>
  <r>
    <d v="2025-03-12T00:00:00"/>
    <x v="1"/>
    <x v="1"/>
    <n v="3833.24"/>
    <n v="192"/>
    <n v="22"/>
    <n v="54266.87"/>
  </r>
  <r>
    <d v="2025-04-04T00:00:00"/>
    <x v="4"/>
    <x v="0"/>
    <n v="7323.49"/>
    <n v="226"/>
    <n v="17"/>
    <n v="82986.429999999993"/>
  </r>
  <r>
    <d v="2025-06-22T00:00:00"/>
    <x v="1"/>
    <x v="4"/>
    <n v="9435.27"/>
    <n v="44"/>
    <n v="14"/>
    <n v="69996.399999999994"/>
  </r>
  <r>
    <d v="2025-02-12T00:00:00"/>
    <x v="4"/>
    <x v="2"/>
    <n v="9087.6299999999992"/>
    <n v="65"/>
    <n v="8"/>
    <n v="37279.47"/>
  </r>
  <r>
    <d v="2025-10-22T00:00:00"/>
    <x v="3"/>
    <x v="0"/>
    <n v="12872.69"/>
    <n v="157"/>
    <n v="61"/>
    <n v="135587.57999999999"/>
  </r>
  <r>
    <d v="2025-06-05T00:00:00"/>
    <x v="1"/>
    <x v="4"/>
    <n v="12197.6"/>
    <n v="55"/>
    <n v="9"/>
    <n v="51298.57"/>
  </r>
  <r>
    <d v="2025-11-30T00:00:00"/>
    <x v="2"/>
    <x v="1"/>
    <n v="11981.83"/>
    <n v="26"/>
    <n v="2"/>
    <n v="7904.13"/>
  </r>
  <r>
    <d v="2025-04-29T00:00:00"/>
    <x v="2"/>
    <x v="3"/>
    <n v="11157.49"/>
    <n v="122"/>
    <n v="1"/>
    <n v="4654.87"/>
  </r>
  <r>
    <d v="2025-07-05T00:00:00"/>
    <x v="3"/>
    <x v="4"/>
    <n v="13284.91"/>
    <n v="59"/>
    <n v="7"/>
    <n v="25569.23"/>
  </r>
  <r>
    <d v="2025-06-10T00:00:00"/>
    <x v="1"/>
    <x v="1"/>
    <n v="12634.08"/>
    <n v="189"/>
    <n v="46"/>
    <n v="266790.58"/>
  </r>
  <r>
    <d v="2025-11-20T00:00:00"/>
    <x v="3"/>
    <x v="1"/>
    <n v="3260.45"/>
    <n v="213"/>
    <n v="55"/>
    <n v="214642.94"/>
  </r>
  <r>
    <d v="2025-03-15T00:00:00"/>
    <x v="2"/>
    <x v="0"/>
    <n v="10680.69"/>
    <n v="235"/>
    <n v="82"/>
    <n v="204855.15"/>
  </r>
  <r>
    <d v="2025-05-22T00:00:00"/>
    <x v="4"/>
    <x v="2"/>
    <n v="14302.52"/>
    <n v="98"/>
    <n v="15"/>
    <n v="28807.58"/>
  </r>
  <r>
    <d v="2025-12-11T00:00:00"/>
    <x v="3"/>
    <x v="0"/>
    <n v="14108.41"/>
    <n v="199"/>
    <n v="72"/>
    <n v="384935.57"/>
  </r>
  <r>
    <d v="2025-05-07T00:00:00"/>
    <x v="4"/>
    <x v="3"/>
    <n v="2545.6"/>
    <n v="27"/>
    <n v="3"/>
    <n v="13798.72"/>
  </r>
  <r>
    <d v="2025-11-04T00:00:00"/>
    <x v="0"/>
    <x v="4"/>
    <n v="12264.44"/>
    <n v="207"/>
    <n v="34"/>
    <n v="200444.84"/>
  </r>
  <r>
    <d v="2025-08-20T00:00:00"/>
    <x v="2"/>
    <x v="0"/>
    <n v="10179.959999999999"/>
    <n v="172"/>
    <n v="59"/>
    <n v="112889.33"/>
  </r>
  <r>
    <d v="2025-03-05T00:00:00"/>
    <x v="3"/>
    <x v="0"/>
    <n v="12651.15"/>
    <n v="119"/>
    <n v="19"/>
    <n v="43042.89"/>
  </r>
  <r>
    <d v="2025-04-02T00:00:00"/>
    <x v="1"/>
    <x v="3"/>
    <n v="12138.43"/>
    <n v="164"/>
    <n v="39"/>
    <n v="173695.29"/>
  </r>
  <r>
    <d v="2025-12-01T00:00:00"/>
    <x v="2"/>
    <x v="3"/>
    <n v="2576.2800000000002"/>
    <n v="48"/>
    <n v="18"/>
    <n v="28281.68"/>
  </r>
  <r>
    <d v="2025-12-02T00:00:00"/>
    <x v="3"/>
    <x v="3"/>
    <n v="3346.01"/>
    <n v="57"/>
    <n v="14"/>
    <n v="16810.580000000002"/>
  </r>
  <r>
    <d v="2025-01-12T00:00:00"/>
    <x v="0"/>
    <x v="2"/>
    <n v="5131.03"/>
    <n v="56"/>
    <n v="20"/>
    <n v="52587.13"/>
  </r>
  <r>
    <d v="2025-04-01T00:00:00"/>
    <x v="3"/>
    <x v="4"/>
    <n v="1803.6"/>
    <n v="23"/>
    <n v="9"/>
    <n v="28821.81"/>
  </r>
  <r>
    <d v="2025-12-05T00:00:00"/>
    <x v="2"/>
    <x v="4"/>
    <n v="2591.54"/>
    <n v="165"/>
    <n v="48"/>
    <n v="181924.78"/>
  </r>
  <r>
    <d v="2025-08-01T00:00:00"/>
    <x v="2"/>
    <x v="1"/>
    <n v="14323.11"/>
    <n v="128"/>
    <n v="36"/>
    <n v="107125.88"/>
  </r>
  <r>
    <d v="2025-08-25T00:00:00"/>
    <x v="0"/>
    <x v="0"/>
    <n v="1686.08"/>
    <n v="154"/>
    <n v="41"/>
    <n v="148854.06"/>
  </r>
  <r>
    <d v="2025-08-06T00:00:00"/>
    <x v="4"/>
    <x v="2"/>
    <n v="8214.6"/>
    <n v="161"/>
    <n v="11"/>
    <n v="40628.25"/>
  </r>
  <r>
    <d v="2025-06-25T00:00:00"/>
    <x v="1"/>
    <x v="1"/>
    <n v="12015.54"/>
    <n v="149"/>
    <n v="24"/>
    <n v="113864.79"/>
  </r>
  <r>
    <d v="2025-10-11T00:00:00"/>
    <x v="1"/>
    <x v="2"/>
    <n v="12064.68"/>
    <n v="38"/>
    <n v="6"/>
    <n v="11098.84"/>
  </r>
  <r>
    <d v="2025-02-07T00:00:00"/>
    <x v="3"/>
    <x v="1"/>
    <n v="6733.7"/>
    <n v="249"/>
    <n v="26"/>
    <n v="128354.06"/>
  </r>
  <r>
    <d v="2025-10-29T00:00:00"/>
    <x v="4"/>
    <x v="2"/>
    <n v="2126.6799999999998"/>
    <n v="152"/>
    <n v="31"/>
    <n v="43636.05"/>
  </r>
  <r>
    <d v="2025-10-05T00:00:00"/>
    <x v="2"/>
    <x v="1"/>
    <n v="8976.76"/>
    <n v="126"/>
    <n v="43"/>
    <n v="253452.12"/>
  </r>
  <r>
    <d v="2025-06-29T00:00:00"/>
    <x v="1"/>
    <x v="3"/>
    <n v="8241.7099999999991"/>
    <n v="88"/>
    <n v="15"/>
    <n v="38397.040000000001"/>
  </r>
  <r>
    <d v="2025-07-20T00:00:00"/>
    <x v="2"/>
    <x v="3"/>
    <n v="2008.1"/>
    <n v="60"/>
    <n v="7"/>
    <n v="25703.9"/>
  </r>
  <r>
    <d v="2025-09-16T00:00:00"/>
    <x v="4"/>
    <x v="1"/>
    <n v="1824.66"/>
    <n v="228"/>
    <n v="7"/>
    <n v="22495.19"/>
  </r>
  <r>
    <d v="2025-03-01T00:00:00"/>
    <x v="3"/>
    <x v="3"/>
    <n v="13768.72"/>
    <n v="63"/>
    <n v="24"/>
    <n v="123271.16"/>
  </r>
  <r>
    <d v="2025-08-28T00:00:00"/>
    <x v="0"/>
    <x v="1"/>
    <n v="11493.31"/>
    <n v="155"/>
    <n v="13"/>
    <n v="70631.41"/>
  </r>
  <r>
    <d v="2025-08-17T00:00:00"/>
    <x v="0"/>
    <x v="0"/>
    <n v="14506.36"/>
    <n v="59"/>
    <n v="14"/>
    <n v="59497.82"/>
  </r>
  <r>
    <d v="2025-01-18T00:00:00"/>
    <x v="4"/>
    <x v="3"/>
    <n v="11432.39"/>
    <n v="170"/>
    <n v="17"/>
    <n v="54821.29"/>
  </r>
  <r>
    <d v="2025-03-25T00:00:00"/>
    <x v="0"/>
    <x v="3"/>
    <n v="3844.43"/>
    <n v="124"/>
    <n v="21"/>
    <n v="94701.36"/>
  </r>
  <r>
    <d v="2025-05-25T00:00:00"/>
    <x v="3"/>
    <x v="3"/>
    <n v="13279.85"/>
    <n v="227"/>
    <n v="64"/>
    <n v="343119.6"/>
  </r>
  <r>
    <d v="2025-10-05T00:00:00"/>
    <x v="1"/>
    <x v="4"/>
    <n v="5893.59"/>
    <n v="39"/>
    <n v="4"/>
    <n v="8600.77"/>
  </r>
  <r>
    <d v="2025-01-02T00:00:00"/>
    <x v="0"/>
    <x v="0"/>
    <n v="14476.52"/>
    <n v="222"/>
    <n v="15"/>
    <n v="83096.19"/>
  </r>
  <r>
    <d v="2025-01-05T00:00:00"/>
    <x v="4"/>
    <x v="2"/>
    <n v="5761.79"/>
    <n v="209"/>
    <n v="79"/>
    <n v="166267.79"/>
  </r>
  <r>
    <d v="2025-12-02T00:00:00"/>
    <x v="1"/>
    <x v="4"/>
    <n v="12370.09"/>
    <n v="69"/>
    <n v="18"/>
    <n v="36271.800000000003"/>
  </r>
  <r>
    <d v="2025-03-22T00:00:00"/>
    <x v="2"/>
    <x v="2"/>
    <n v="5357.89"/>
    <n v="29"/>
    <n v="5"/>
    <n v="6562.99"/>
  </r>
  <r>
    <d v="2025-10-02T00:00:00"/>
    <x v="4"/>
    <x v="1"/>
    <n v="4029.8"/>
    <n v="86"/>
    <n v="24"/>
    <n v="40881.06"/>
  </r>
  <r>
    <d v="2025-12-24T00:00:00"/>
    <x v="0"/>
    <x v="0"/>
    <n v="6494.09"/>
    <n v="144"/>
    <n v="18"/>
    <n v="67412.47"/>
  </r>
  <r>
    <d v="2025-10-29T00:00:00"/>
    <x v="1"/>
    <x v="4"/>
    <n v="10560.04"/>
    <n v="88"/>
    <n v="18"/>
    <n v="94686.080000000002"/>
  </r>
  <r>
    <d v="2025-04-22T00:00:00"/>
    <x v="4"/>
    <x v="1"/>
    <n v="11156"/>
    <n v="64"/>
    <n v="12"/>
    <n v="21439.05"/>
  </r>
  <r>
    <d v="2025-01-10T00:00:00"/>
    <x v="2"/>
    <x v="0"/>
    <n v="14061.28"/>
    <n v="245"/>
    <n v="79"/>
    <n v="162780.70000000001"/>
  </r>
  <r>
    <d v="2025-03-07T00:00:00"/>
    <x v="0"/>
    <x v="4"/>
    <n v="13925.32"/>
    <n v="57"/>
    <n v="18"/>
    <n v="25143.63"/>
  </r>
  <r>
    <d v="2025-02-26T00:00:00"/>
    <x v="1"/>
    <x v="0"/>
    <n v="6526.7"/>
    <n v="187"/>
    <n v="35"/>
    <n v="93840.85"/>
  </r>
  <r>
    <d v="2025-09-13T00:00:00"/>
    <x v="2"/>
    <x v="3"/>
    <n v="11686.86"/>
    <n v="193"/>
    <n v="48"/>
    <n v="123950.21"/>
  </r>
  <r>
    <d v="2025-06-21T00:00:00"/>
    <x v="0"/>
    <x v="0"/>
    <n v="11486.76"/>
    <n v="38"/>
    <n v="15"/>
    <n v="55999.51"/>
  </r>
  <r>
    <d v="2025-12-12T00:00:00"/>
    <x v="2"/>
    <x v="1"/>
    <n v="12182.29"/>
    <n v="54"/>
    <n v="5"/>
    <n v="16309.2"/>
  </r>
  <r>
    <d v="2025-03-28T00:00:00"/>
    <x v="2"/>
    <x v="4"/>
    <n v="10619.73"/>
    <n v="57"/>
    <n v="1"/>
    <n v="1924.32"/>
  </r>
  <r>
    <d v="2025-11-19T00:00:00"/>
    <x v="3"/>
    <x v="4"/>
    <n v="10351.64"/>
    <n v="203"/>
    <n v="47"/>
    <n v="171681.82"/>
  </r>
  <r>
    <d v="2025-06-03T00:00:00"/>
    <x v="3"/>
    <x v="3"/>
    <n v="2257.73"/>
    <n v="225"/>
    <n v="72"/>
    <n v="351779.25"/>
  </r>
  <r>
    <d v="2025-08-01T00:00:00"/>
    <x v="4"/>
    <x v="0"/>
    <n v="10324.92"/>
    <n v="238"/>
    <n v="1"/>
    <n v="5775.11"/>
  </r>
  <r>
    <d v="2025-11-25T00:00:00"/>
    <x v="1"/>
    <x v="0"/>
    <n v="7418.74"/>
    <n v="112"/>
    <n v="24"/>
    <n v="60062.239999999998"/>
  </r>
  <r>
    <d v="2025-12-09T00:00:00"/>
    <x v="4"/>
    <x v="0"/>
    <n v="2203.9699999999998"/>
    <n v="163"/>
    <n v="61"/>
    <n v="171159.61"/>
  </r>
  <r>
    <d v="2025-04-13T00:00:00"/>
    <x v="1"/>
    <x v="3"/>
    <n v="8979.43"/>
    <n v="88"/>
    <n v="32"/>
    <n v="119751.19"/>
  </r>
  <r>
    <d v="2025-02-14T00:00:00"/>
    <x v="2"/>
    <x v="4"/>
    <n v="2205.73"/>
    <n v="64"/>
    <n v="15"/>
    <n v="41856.239999999998"/>
  </r>
  <r>
    <d v="2025-11-07T00:00:00"/>
    <x v="0"/>
    <x v="0"/>
    <n v="5733.06"/>
    <n v="68"/>
    <n v="18"/>
    <n v="79408.149999999994"/>
  </r>
  <r>
    <d v="2025-12-11T00:00:00"/>
    <x v="2"/>
    <x v="0"/>
    <n v="11335.44"/>
    <n v="189"/>
    <n v="12"/>
    <n v="43532.25"/>
  </r>
  <r>
    <d v="2025-03-11T00:00:00"/>
    <x v="2"/>
    <x v="1"/>
    <n v="8867.1299999999992"/>
    <n v="54"/>
    <n v="7"/>
    <n v="23865.46"/>
  </r>
  <r>
    <d v="2025-11-06T00:00:00"/>
    <x v="1"/>
    <x v="3"/>
    <n v="12501.61"/>
    <n v="177"/>
    <n v="66"/>
    <n v="96929.46"/>
  </r>
  <r>
    <d v="2025-06-22T00:00:00"/>
    <x v="4"/>
    <x v="1"/>
    <n v="2111.0700000000002"/>
    <n v="221"/>
    <n v="47"/>
    <n v="159292"/>
  </r>
  <r>
    <d v="2025-04-30T00:00:00"/>
    <x v="4"/>
    <x v="4"/>
    <n v="8496.17"/>
    <n v="157"/>
    <n v="32"/>
    <n v="46890.080000000002"/>
  </r>
  <r>
    <d v="2025-01-31T00:00:00"/>
    <x v="2"/>
    <x v="2"/>
    <n v="3321.91"/>
    <n v="55"/>
    <n v="12"/>
    <n v="34753.64"/>
  </r>
  <r>
    <d v="2025-09-04T00:00:00"/>
    <x v="4"/>
    <x v="1"/>
    <n v="2508.34"/>
    <n v="185"/>
    <n v="20"/>
    <n v="80522.59"/>
  </r>
  <r>
    <d v="2025-02-19T00:00:00"/>
    <x v="1"/>
    <x v="1"/>
    <n v="13017.27"/>
    <n v="185"/>
    <n v="73"/>
    <n v="254505.52"/>
  </r>
  <r>
    <d v="2025-10-04T00:00:00"/>
    <x v="1"/>
    <x v="0"/>
    <n v="13209.4"/>
    <n v="31"/>
    <n v="7"/>
    <n v="32750.01"/>
  </r>
  <r>
    <d v="2025-09-24T00:00:00"/>
    <x v="4"/>
    <x v="3"/>
    <n v="9777.86"/>
    <n v="148"/>
    <n v="50"/>
    <n v="154580.65"/>
  </r>
  <r>
    <d v="2025-07-07T00:00:00"/>
    <x v="2"/>
    <x v="3"/>
    <n v="6503.97"/>
    <n v="239"/>
    <n v="50"/>
    <n v="258272.21"/>
  </r>
  <r>
    <d v="2025-08-18T00:00:00"/>
    <x v="1"/>
    <x v="2"/>
    <n v="6258.89"/>
    <n v="145"/>
    <n v="14"/>
    <n v="54087.31"/>
  </r>
  <r>
    <d v="2025-12-16T00:00:00"/>
    <x v="3"/>
    <x v="0"/>
    <n v="4198.58"/>
    <n v="74"/>
    <n v="3"/>
    <n v="5285.11"/>
  </r>
  <r>
    <d v="2025-11-28T00:00:00"/>
    <x v="2"/>
    <x v="0"/>
    <n v="10768.12"/>
    <n v="187"/>
    <n v="28"/>
    <n v="104835.23"/>
  </r>
  <r>
    <d v="2025-07-02T00:00:00"/>
    <x v="2"/>
    <x v="2"/>
    <n v="8266.11"/>
    <n v="213"/>
    <n v="6"/>
    <n v="26049.98"/>
  </r>
  <r>
    <d v="2025-08-27T00:00:00"/>
    <x v="0"/>
    <x v="2"/>
    <n v="3512.23"/>
    <n v="177"/>
    <n v="2"/>
    <n v="10115.200000000001"/>
  </r>
  <r>
    <d v="2025-12-23T00:00:00"/>
    <x v="0"/>
    <x v="1"/>
    <n v="3595.06"/>
    <n v="237"/>
    <n v="45"/>
    <n v="204131.65"/>
  </r>
  <r>
    <d v="2025-09-23T00:00:00"/>
    <x v="2"/>
    <x v="2"/>
    <n v="14408.9"/>
    <n v="107"/>
    <n v="20"/>
    <n v="111537.01"/>
  </r>
  <r>
    <d v="2025-10-09T00:00:00"/>
    <x v="2"/>
    <x v="0"/>
    <n v="12318.31"/>
    <n v="195"/>
    <n v="7"/>
    <n v="16617.13"/>
  </r>
  <r>
    <d v="2025-11-15T00:00:00"/>
    <x v="1"/>
    <x v="4"/>
    <n v="9484.42"/>
    <n v="190"/>
    <n v="60"/>
    <n v="152667.79999999999"/>
  </r>
  <r>
    <d v="2025-07-20T00:00:00"/>
    <x v="1"/>
    <x v="3"/>
    <n v="13458.36"/>
    <n v="24"/>
    <n v="9"/>
    <n v="46196.51"/>
  </r>
  <r>
    <d v="2025-10-07T00:00:00"/>
    <x v="1"/>
    <x v="2"/>
    <n v="2738.82"/>
    <n v="196"/>
    <n v="64"/>
    <n v="249352.93"/>
  </r>
  <r>
    <d v="2025-10-06T00:00:00"/>
    <x v="1"/>
    <x v="1"/>
    <n v="13847.02"/>
    <n v="168"/>
    <n v="5"/>
    <n v="13150.08"/>
  </r>
  <r>
    <d v="2025-04-22T00:00:00"/>
    <x v="0"/>
    <x v="4"/>
    <n v="6966.32"/>
    <n v="175"/>
    <n v="38"/>
    <n v="218391.56"/>
  </r>
  <r>
    <d v="2025-05-16T00:00:00"/>
    <x v="3"/>
    <x v="2"/>
    <n v="6443.75"/>
    <n v="243"/>
    <n v="97"/>
    <n v="183331.61"/>
  </r>
  <r>
    <d v="2025-06-18T00:00:00"/>
    <x v="4"/>
    <x v="2"/>
    <n v="5782.65"/>
    <n v="131"/>
    <n v="33"/>
    <n v="98638.48"/>
  </r>
  <r>
    <d v="2025-12-17T00:00:00"/>
    <x v="0"/>
    <x v="3"/>
    <n v="4193.91"/>
    <n v="188"/>
    <n v="29"/>
    <n v="114500.45"/>
  </r>
  <r>
    <d v="2025-04-26T00:00:00"/>
    <x v="0"/>
    <x v="1"/>
    <n v="4028.99"/>
    <n v="175"/>
    <n v="20"/>
    <n v="117397.96"/>
  </r>
  <r>
    <d v="2025-02-05T00:00:00"/>
    <x v="1"/>
    <x v="2"/>
    <n v="4369.91"/>
    <n v="57"/>
    <n v="4"/>
    <n v="22689.599999999999"/>
  </r>
  <r>
    <d v="2025-07-22T00:00:00"/>
    <x v="0"/>
    <x v="0"/>
    <n v="6307.61"/>
    <n v="231"/>
    <n v="21"/>
    <n v="49473.18"/>
  </r>
  <r>
    <d v="2025-09-14T00:00:00"/>
    <x v="4"/>
    <x v="1"/>
    <n v="8326.9699999999993"/>
    <n v="131"/>
    <n v="42"/>
    <n v="168676.46"/>
  </r>
  <r>
    <d v="2025-11-07T00:00:00"/>
    <x v="2"/>
    <x v="2"/>
    <n v="4358.66"/>
    <n v="141"/>
    <n v="10"/>
    <n v="10226.4"/>
  </r>
  <r>
    <d v="2025-02-09T00:00:00"/>
    <x v="0"/>
    <x v="0"/>
    <n v="1624.72"/>
    <n v="217"/>
    <n v="23"/>
    <n v="52549.81"/>
  </r>
  <r>
    <d v="2025-12-16T00:00:00"/>
    <x v="1"/>
    <x v="1"/>
    <n v="8846.4699999999993"/>
    <n v="41"/>
    <n v="13"/>
    <n v="51823.7"/>
  </r>
  <r>
    <d v="2025-02-06T00:00:00"/>
    <x v="1"/>
    <x v="0"/>
    <n v="14204.49"/>
    <n v="113"/>
    <n v="30"/>
    <n v="168284.17"/>
  </r>
  <r>
    <d v="2025-10-07T00:00:00"/>
    <x v="3"/>
    <x v="3"/>
    <n v="14191.11"/>
    <n v="211"/>
    <n v="53"/>
    <n v="223795.35"/>
  </r>
  <r>
    <d v="2025-04-05T00:00:00"/>
    <x v="0"/>
    <x v="4"/>
    <n v="1014.56"/>
    <n v="55"/>
    <n v="20"/>
    <n v="116723.31"/>
  </r>
  <r>
    <d v="2025-12-27T00:00:00"/>
    <x v="3"/>
    <x v="0"/>
    <n v="12796.65"/>
    <n v="221"/>
    <n v="64"/>
    <n v="97197.68"/>
  </r>
  <r>
    <d v="2025-09-06T00:00:00"/>
    <x v="4"/>
    <x v="2"/>
    <n v="2868.05"/>
    <n v="225"/>
    <n v="83"/>
    <n v="425910.4"/>
  </r>
  <r>
    <d v="2025-02-22T00:00:00"/>
    <x v="0"/>
    <x v="0"/>
    <n v="4715"/>
    <n v="190"/>
    <n v="36"/>
    <n v="130972.78"/>
  </r>
  <r>
    <d v="2025-12-19T00:00:00"/>
    <x v="3"/>
    <x v="3"/>
    <n v="13196.1"/>
    <n v="53"/>
    <n v="4"/>
    <n v="14654.73"/>
  </r>
  <r>
    <d v="2025-08-29T00:00:00"/>
    <x v="3"/>
    <x v="0"/>
    <n v="4158.3100000000004"/>
    <n v="170"/>
    <n v="4"/>
    <n v="17262.62"/>
  </r>
  <r>
    <d v="2025-03-05T00:00:00"/>
    <x v="3"/>
    <x v="0"/>
    <n v="5783.52"/>
    <n v="63"/>
    <n v="5"/>
    <n v="19962.54"/>
  </r>
  <r>
    <d v="2025-03-10T00:00:00"/>
    <x v="3"/>
    <x v="0"/>
    <n v="13143.3"/>
    <n v="33"/>
    <n v="5"/>
    <n v="28627.39"/>
  </r>
  <r>
    <d v="2025-02-11T00:00:00"/>
    <x v="4"/>
    <x v="0"/>
    <n v="13311.93"/>
    <n v="144"/>
    <n v="16"/>
    <n v="51226.82"/>
  </r>
  <r>
    <d v="2025-04-14T00:00:00"/>
    <x v="3"/>
    <x v="1"/>
    <n v="12462.18"/>
    <n v="67"/>
    <n v="10"/>
    <n v="58513.16"/>
  </r>
  <r>
    <d v="2025-10-27T00:00:00"/>
    <x v="0"/>
    <x v="1"/>
    <n v="2369.66"/>
    <n v="165"/>
    <n v="14"/>
    <n v="21434.06"/>
  </r>
  <r>
    <d v="2025-08-28T00:00:00"/>
    <x v="2"/>
    <x v="2"/>
    <n v="1649.91"/>
    <n v="151"/>
    <n v="20"/>
    <n v="91704.86"/>
  </r>
  <r>
    <d v="2025-08-02T00:00:00"/>
    <x v="2"/>
    <x v="4"/>
    <n v="13068.31"/>
    <n v="238"/>
    <n v="29"/>
    <n v="134590.04"/>
  </r>
  <r>
    <d v="2025-01-12T00:00:00"/>
    <x v="2"/>
    <x v="1"/>
    <n v="12313.95"/>
    <n v="54"/>
    <n v="7"/>
    <n v="16395.990000000002"/>
  </r>
  <r>
    <d v="2025-09-02T00:00:00"/>
    <x v="2"/>
    <x v="1"/>
    <n v="6558.02"/>
    <n v="194"/>
    <n v="46"/>
    <n v="214426.08"/>
  </r>
  <r>
    <d v="2025-12-15T00:00:00"/>
    <x v="2"/>
    <x v="2"/>
    <n v="8950.5300000000007"/>
    <n v="181"/>
    <n v="6"/>
    <n v="24515.34"/>
  </r>
  <r>
    <d v="2025-09-16T00:00:00"/>
    <x v="3"/>
    <x v="0"/>
    <n v="12916.22"/>
    <n v="72"/>
    <n v="21"/>
    <n v="31900.62"/>
  </r>
  <r>
    <d v="2025-01-06T00:00:00"/>
    <x v="3"/>
    <x v="1"/>
    <n v="11148.13"/>
    <n v="97"/>
    <n v="2"/>
    <n v="6286.3"/>
  </r>
  <r>
    <d v="2025-02-19T00:00:00"/>
    <x v="2"/>
    <x v="0"/>
    <n v="3438.24"/>
    <n v="60"/>
    <n v="12"/>
    <n v="24439.3"/>
  </r>
  <r>
    <d v="2025-06-07T00:00:00"/>
    <x v="2"/>
    <x v="1"/>
    <n v="2706.95"/>
    <n v="70"/>
    <n v="1"/>
    <n v="4851.6499999999996"/>
  </r>
  <r>
    <d v="2025-05-09T00:00:00"/>
    <x v="1"/>
    <x v="2"/>
    <n v="12119.24"/>
    <n v="44"/>
    <n v="16"/>
    <n v="35748.32"/>
  </r>
  <r>
    <d v="2025-12-31T00:00:00"/>
    <x v="4"/>
    <x v="1"/>
    <n v="5553.81"/>
    <n v="201"/>
    <n v="39"/>
    <n v="233384.61"/>
  </r>
  <r>
    <d v="2025-01-16T00:00:00"/>
    <x v="0"/>
    <x v="2"/>
    <n v="9983.39"/>
    <n v="221"/>
    <n v="8"/>
    <n v="40841.769999999997"/>
  </r>
  <r>
    <d v="2025-05-19T00:00:00"/>
    <x v="0"/>
    <x v="3"/>
    <n v="5850.93"/>
    <n v="168"/>
    <n v="57"/>
    <n v="299214.8"/>
  </r>
  <r>
    <d v="2025-06-18T00:00:00"/>
    <x v="2"/>
    <x v="4"/>
    <n v="9942.2999999999993"/>
    <n v="35"/>
    <n v="9"/>
    <n v="50999.519999999997"/>
  </r>
  <r>
    <d v="2025-09-13T00:00:00"/>
    <x v="4"/>
    <x v="4"/>
    <n v="6110.93"/>
    <n v="46"/>
    <n v="11"/>
    <n v="15280.26"/>
  </r>
  <r>
    <d v="2025-07-15T00:00:00"/>
    <x v="2"/>
    <x v="0"/>
    <n v="7781.82"/>
    <n v="187"/>
    <n v="57"/>
    <n v="328945.8"/>
  </r>
  <r>
    <d v="2025-11-18T00:00:00"/>
    <x v="3"/>
    <x v="0"/>
    <n v="11996.6"/>
    <n v="73"/>
    <n v="16"/>
    <n v="18569.259999999998"/>
  </r>
  <r>
    <d v="2025-01-06T00:00:00"/>
    <x v="4"/>
    <x v="1"/>
    <n v="8764.66"/>
    <n v="105"/>
    <n v="12"/>
    <n v="49832.18"/>
  </r>
  <r>
    <d v="2025-10-05T00:00:00"/>
    <x v="0"/>
    <x v="4"/>
    <n v="7543.2"/>
    <n v="192"/>
    <n v="29"/>
    <n v="53136.22"/>
  </r>
  <r>
    <d v="2025-06-15T00:00:00"/>
    <x v="2"/>
    <x v="1"/>
    <n v="9186.5400000000009"/>
    <n v="183"/>
    <n v="38"/>
    <n v="186292.73"/>
  </r>
  <r>
    <d v="2025-07-06T00:00:00"/>
    <x v="4"/>
    <x v="1"/>
    <n v="5363.86"/>
    <n v="241"/>
    <n v="78"/>
    <n v="263082.67"/>
  </r>
  <r>
    <d v="2025-11-17T00:00:00"/>
    <x v="0"/>
    <x v="1"/>
    <n v="6990.08"/>
    <n v="200"/>
    <n v="44"/>
    <n v="130473.68"/>
  </r>
  <r>
    <d v="2025-10-30T00:00:00"/>
    <x v="4"/>
    <x v="1"/>
    <n v="11638.18"/>
    <n v="161"/>
    <n v="30"/>
    <n v="33948.43"/>
  </r>
  <r>
    <d v="2025-07-05T00:00:00"/>
    <x v="3"/>
    <x v="4"/>
    <n v="13483.87"/>
    <n v="195"/>
    <n v="19"/>
    <n v="100185.45"/>
  </r>
  <r>
    <d v="2025-01-02T00:00:00"/>
    <x v="0"/>
    <x v="3"/>
    <n v="6876.18"/>
    <n v="240"/>
    <n v="92"/>
    <n v="208578.26"/>
  </r>
  <r>
    <d v="2025-03-03T00:00:00"/>
    <x v="3"/>
    <x v="3"/>
    <n v="2876.74"/>
    <n v="197"/>
    <n v="74"/>
    <n v="349000.93"/>
  </r>
  <r>
    <d v="2025-02-01T00:00:00"/>
    <x v="1"/>
    <x v="1"/>
    <n v="2464.4899999999998"/>
    <n v="91"/>
    <n v="27"/>
    <n v="128882.05"/>
  </r>
  <r>
    <d v="2025-12-24T00:00:00"/>
    <x v="1"/>
    <x v="4"/>
    <n v="5454.33"/>
    <n v="32"/>
    <n v="8"/>
    <n v="34248.85"/>
  </r>
  <r>
    <d v="2025-12-04T00:00:00"/>
    <x v="4"/>
    <x v="0"/>
    <n v="7098.19"/>
    <n v="215"/>
    <n v="68"/>
    <n v="328423.21999999997"/>
  </r>
  <r>
    <d v="2025-06-01T00:00:00"/>
    <x v="1"/>
    <x v="3"/>
    <n v="13673.44"/>
    <n v="64"/>
    <n v="16"/>
    <n v="52861.53"/>
  </r>
  <r>
    <d v="2025-05-15T00:00:00"/>
    <x v="2"/>
    <x v="3"/>
    <n v="12795.41"/>
    <n v="81"/>
    <n v="16"/>
    <n v="40299.53"/>
  </r>
  <r>
    <d v="2025-03-01T00:00:00"/>
    <x v="4"/>
    <x v="0"/>
    <n v="13516.1"/>
    <n v="82"/>
    <n v="29"/>
    <n v="164641.19"/>
  </r>
  <r>
    <d v="2025-09-15T00:00:00"/>
    <x v="4"/>
    <x v="0"/>
    <n v="12126.96"/>
    <n v="143"/>
    <n v="25"/>
    <n v="148526.32"/>
  </r>
  <r>
    <d v="2025-06-25T00:00:00"/>
    <x v="4"/>
    <x v="1"/>
    <n v="9238.52"/>
    <n v="72"/>
    <n v="12"/>
    <n v="52543.85"/>
  </r>
  <r>
    <d v="2025-09-04T00:00:00"/>
    <x v="0"/>
    <x v="2"/>
    <n v="9009.01"/>
    <n v="93"/>
    <n v="24"/>
    <n v="105758.23"/>
  </r>
  <r>
    <d v="2025-06-04T00:00:00"/>
    <x v="1"/>
    <x v="3"/>
    <n v="1570.77"/>
    <n v="69"/>
    <n v="16"/>
    <n v="56711.12"/>
  </r>
  <r>
    <d v="2025-08-17T00:00:00"/>
    <x v="4"/>
    <x v="2"/>
    <n v="12406.48"/>
    <n v="198"/>
    <n v="50"/>
    <n v="154801.18"/>
  </r>
  <r>
    <d v="2025-01-22T00:00:00"/>
    <x v="0"/>
    <x v="1"/>
    <n v="5268.92"/>
    <n v="180"/>
    <n v="34"/>
    <n v="129606.48"/>
  </r>
  <r>
    <d v="2025-11-04T00:00:00"/>
    <x v="4"/>
    <x v="0"/>
    <n v="13385.65"/>
    <n v="191"/>
    <n v="15"/>
    <n v="18493.5"/>
  </r>
  <r>
    <d v="2025-01-18T00:00:00"/>
    <x v="3"/>
    <x v="3"/>
    <n v="12375.39"/>
    <n v="180"/>
    <n v="48"/>
    <n v="124852.25"/>
  </r>
  <r>
    <d v="2025-07-01T00:00:00"/>
    <x v="4"/>
    <x v="2"/>
    <n v="14639.17"/>
    <n v="121"/>
    <n v="21"/>
    <n v="107828.52"/>
  </r>
  <r>
    <d v="2025-09-04T00:00:00"/>
    <x v="2"/>
    <x v="1"/>
    <n v="4489.75"/>
    <n v="55"/>
    <n v="8"/>
    <n v="39776.720000000001"/>
  </r>
  <r>
    <d v="2025-03-06T00:00:00"/>
    <x v="2"/>
    <x v="2"/>
    <n v="1306.54"/>
    <n v="70"/>
    <n v="16"/>
    <n v="53372.38"/>
  </r>
  <r>
    <d v="2025-03-09T00:00:00"/>
    <x v="4"/>
    <x v="4"/>
    <n v="9674.2900000000009"/>
    <n v="126"/>
    <n v="44"/>
    <n v="124666.99"/>
  </r>
  <r>
    <d v="2025-07-07T00:00:00"/>
    <x v="3"/>
    <x v="3"/>
    <n v="1555.51"/>
    <n v="130"/>
    <n v="31"/>
    <n v="61069.85"/>
  </r>
  <r>
    <d v="2025-07-29T00:00:00"/>
    <x v="0"/>
    <x v="2"/>
    <n v="1107.1099999999999"/>
    <n v="149"/>
    <n v="58"/>
    <n v="194876.39"/>
  </r>
  <r>
    <d v="2025-04-08T00:00:00"/>
    <x v="4"/>
    <x v="1"/>
    <n v="9528.8799999999992"/>
    <n v="215"/>
    <n v="47"/>
    <n v="71895.539999999994"/>
  </r>
  <r>
    <d v="2025-08-29T00:00:00"/>
    <x v="3"/>
    <x v="1"/>
    <n v="8355.19"/>
    <n v="142"/>
    <n v="13"/>
    <n v="44068.36"/>
  </r>
  <r>
    <d v="2025-06-12T00:00:00"/>
    <x v="0"/>
    <x v="3"/>
    <n v="7464.05"/>
    <n v="224"/>
    <n v="63"/>
    <n v="367717.29"/>
  </r>
  <r>
    <d v="2025-01-21T00:00:00"/>
    <x v="0"/>
    <x v="1"/>
    <n v="4637.24"/>
    <n v="127"/>
    <n v="10"/>
    <n v="52604.9"/>
  </r>
  <r>
    <d v="2025-08-09T00:00:00"/>
    <x v="2"/>
    <x v="3"/>
    <n v="2995.37"/>
    <n v="178"/>
    <n v="24"/>
    <n v="56498.38"/>
  </r>
  <r>
    <d v="2025-12-28T00:00:00"/>
    <x v="4"/>
    <x v="2"/>
    <n v="5035.59"/>
    <n v="199"/>
    <n v="50"/>
    <n v="192673.91"/>
  </r>
  <r>
    <d v="2025-06-03T00:00:00"/>
    <x v="1"/>
    <x v="4"/>
    <n v="8046.61"/>
    <n v="29"/>
    <n v="6"/>
    <n v="32684.06"/>
  </r>
  <r>
    <d v="2025-09-25T00:00:00"/>
    <x v="2"/>
    <x v="2"/>
    <n v="4615.91"/>
    <n v="204"/>
    <n v="24"/>
    <n v="98797.96"/>
  </r>
  <r>
    <d v="2025-05-20T00:00:00"/>
    <x v="1"/>
    <x v="4"/>
    <n v="12656.33"/>
    <n v="139"/>
    <n v="44"/>
    <n v="127581.64"/>
  </r>
  <r>
    <d v="2025-03-14T00:00:00"/>
    <x v="0"/>
    <x v="1"/>
    <n v="13731.63"/>
    <n v="217"/>
    <n v="6"/>
    <n v="23473.73"/>
  </r>
  <r>
    <d v="2025-11-29T00:00:00"/>
    <x v="4"/>
    <x v="0"/>
    <n v="12813.49"/>
    <n v="103"/>
    <n v="25"/>
    <n v="137578.32"/>
  </r>
  <r>
    <d v="2025-12-15T00:00:00"/>
    <x v="4"/>
    <x v="0"/>
    <n v="1359.78"/>
    <n v="107"/>
    <n v="32"/>
    <n v="93632.78"/>
  </r>
  <r>
    <d v="2025-12-13T00:00:00"/>
    <x v="1"/>
    <x v="4"/>
    <n v="8194.6299999999992"/>
    <n v="58"/>
    <n v="13"/>
    <n v="74637.19"/>
  </r>
  <r>
    <d v="2025-11-02T00:00:00"/>
    <x v="1"/>
    <x v="4"/>
    <n v="5060.29"/>
    <n v="21"/>
    <n v="4"/>
    <n v="20970.09"/>
  </r>
  <r>
    <d v="2025-03-04T00:00:00"/>
    <x v="4"/>
    <x v="1"/>
    <n v="14506.7"/>
    <n v="28"/>
    <n v="11"/>
    <n v="51577.43"/>
  </r>
  <r>
    <d v="2025-12-13T00:00:00"/>
    <x v="3"/>
    <x v="0"/>
    <n v="8282.07"/>
    <n v="171"/>
    <n v="15"/>
    <n v="37333.050000000003"/>
  </r>
  <r>
    <d v="2025-02-13T00:00:00"/>
    <x v="2"/>
    <x v="4"/>
    <n v="12565.46"/>
    <n v="23"/>
    <n v="3"/>
    <n v="4634.1400000000003"/>
  </r>
  <r>
    <d v="2025-05-29T00:00:00"/>
    <x v="1"/>
    <x v="0"/>
    <n v="5619.95"/>
    <n v="29"/>
    <n v="2"/>
    <n v="2388.9299999999998"/>
  </r>
  <r>
    <d v="2025-04-22T00:00:00"/>
    <x v="4"/>
    <x v="2"/>
    <n v="4282.71"/>
    <n v="73"/>
    <n v="9"/>
    <n v="32016.22"/>
  </r>
  <r>
    <d v="2025-05-10T00:00:00"/>
    <x v="1"/>
    <x v="2"/>
    <n v="3739.05"/>
    <n v="85"/>
    <n v="28"/>
    <n v="119843.58"/>
  </r>
  <r>
    <d v="2025-07-13T00:00:00"/>
    <x v="4"/>
    <x v="3"/>
    <n v="3579.66"/>
    <n v="107"/>
    <n v="31"/>
    <n v="37196.949999999997"/>
  </r>
  <r>
    <d v="2025-05-18T00:00:00"/>
    <x v="1"/>
    <x v="1"/>
    <n v="8462.08"/>
    <n v="104"/>
    <n v="40"/>
    <n v="67910.86"/>
  </r>
  <r>
    <d v="2025-11-13T00:00:00"/>
    <x v="2"/>
    <x v="4"/>
    <n v="5655.39"/>
    <n v="153"/>
    <n v="21"/>
    <n v="92165.87"/>
  </r>
  <r>
    <d v="2025-01-04T00:00:00"/>
    <x v="1"/>
    <x v="1"/>
    <n v="5143.13"/>
    <n v="237"/>
    <n v="51"/>
    <n v="227119.07"/>
  </r>
  <r>
    <d v="2025-05-11T00:00:00"/>
    <x v="0"/>
    <x v="2"/>
    <n v="8913.68"/>
    <n v="153"/>
    <n v="18"/>
    <n v="50523.95"/>
  </r>
  <r>
    <d v="2025-06-11T00:00:00"/>
    <x v="4"/>
    <x v="1"/>
    <n v="11450.44"/>
    <n v="232"/>
    <n v="10"/>
    <n v="10546.12"/>
  </r>
  <r>
    <d v="2025-01-31T00:00:00"/>
    <x v="1"/>
    <x v="4"/>
    <n v="11239.74"/>
    <n v="52"/>
    <n v="3"/>
    <n v="7463.32"/>
  </r>
  <r>
    <d v="2025-10-29T00:00:00"/>
    <x v="4"/>
    <x v="2"/>
    <n v="3948.77"/>
    <n v="110"/>
    <n v="8"/>
    <n v="31980.97"/>
  </r>
  <r>
    <d v="2025-09-04T00:00:00"/>
    <x v="1"/>
    <x v="1"/>
    <n v="11789.76"/>
    <n v="33"/>
    <n v="10"/>
    <n v="12818.29"/>
  </r>
  <r>
    <d v="2025-10-24T00:00:00"/>
    <x v="1"/>
    <x v="4"/>
    <n v="13622.9"/>
    <n v="40"/>
    <n v="8"/>
    <n v="33563.599999999999"/>
  </r>
  <r>
    <d v="2025-05-31T00:00:00"/>
    <x v="2"/>
    <x v="4"/>
    <n v="2182.8200000000002"/>
    <n v="60"/>
    <n v="3"/>
    <n v="5209.8599999999997"/>
  </r>
  <r>
    <d v="2025-08-12T00:00:00"/>
    <x v="2"/>
    <x v="1"/>
    <n v="2858.6"/>
    <n v="27"/>
    <n v="7"/>
    <n v="31915.83"/>
  </r>
  <r>
    <d v="2025-01-29T00:00:00"/>
    <x v="0"/>
    <x v="4"/>
    <n v="13297.92"/>
    <n v="179"/>
    <n v="68"/>
    <n v="370169.22"/>
  </r>
  <r>
    <d v="2025-09-11T00:00:00"/>
    <x v="4"/>
    <x v="0"/>
    <n v="5868.14"/>
    <n v="84"/>
    <n v="5"/>
    <n v="14318.85"/>
  </r>
  <r>
    <d v="2025-12-06T00:00:00"/>
    <x v="2"/>
    <x v="0"/>
    <n v="10983.72"/>
    <n v="111"/>
    <n v="32"/>
    <n v="65108.42"/>
  </r>
  <r>
    <d v="2025-05-10T00:00:00"/>
    <x v="4"/>
    <x v="0"/>
    <n v="2494.66"/>
    <n v="143"/>
    <n v="18"/>
    <n v="48202.45"/>
  </r>
  <r>
    <d v="2025-05-31T00:00:00"/>
    <x v="4"/>
    <x v="3"/>
    <n v="6148.19"/>
    <n v="114"/>
    <n v="14"/>
    <n v="33477.589999999997"/>
  </r>
  <r>
    <d v="2025-03-16T00:00:00"/>
    <x v="0"/>
    <x v="0"/>
    <n v="1508.46"/>
    <n v="97"/>
    <n v="21"/>
    <n v="85174.14"/>
  </r>
  <r>
    <d v="2025-05-17T00:00:00"/>
    <x v="0"/>
    <x v="2"/>
    <n v="1162.4000000000001"/>
    <n v="245"/>
    <n v="10"/>
    <n v="56162.39"/>
  </r>
  <r>
    <d v="2025-07-09T00:00:00"/>
    <x v="0"/>
    <x v="0"/>
    <n v="7557.32"/>
    <n v="109"/>
    <n v="26"/>
    <n v="91782.12"/>
  </r>
  <r>
    <d v="2025-02-12T00:00:00"/>
    <x v="1"/>
    <x v="3"/>
    <n v="4296.97"/>
    <n v="73"/>
    <n v="4"/>
    <n v="11136.7"/>
  </r>
  <r>
    <d v="2025-10-09T00:00:00"/>
    <x v="4"/>
    <x v="4"/>
    <n v="5447.95"/>
    <n v="216"/>
    <n v="58"/>
    <n v="226513.71"/>
  </r>
  <r>
    <d v="2025-01-15T00:00:00"/>
    <x v="4"/>
    <x v="2"/>
    <n v="4376.84"/>
    <n v="162"/>
    <n v="18"/>
    <n v="104540.17"/>
  </r>
  <r>
    <d v="2025-08-14T00:00:00"/>
    <x v="4"/>
    <x v="1"/>
    <n v="7825.54"/>
    <n v="177"/>
    <n v="68"/>
    <n v="227503.74"/>
  </r>
  <r>
    <d v="2025-11-07T00:00:00"/>
    <x v="0"/>
    <x v="0"/>
    <n v="8755.01"/>
    <n v="53"/>
    <n v="8"/>
    <n v="30793.57"/>
  </r>
  <r>
    <d v="2025-10-02T00:00:00"/>
    <x v="3"/>
    <x v="0"/>
    <n v="12242.85"/>
    <n v="65"/>
    <n v="6"/>
    <n v="33350.9"/>
  </r>
  <r>
    <d v="2025-08-29T00:00:00"/>
    <x v="0"/>
    <x v="3"/>
    <n v="14228.77"/>
    <n v="170"/>
    <n v="29"/>
    <n v="152273.14000000001"/>
  </r>
  <r>
    <d v="2025-01-09T00:00:00"/>
    <x v="1"/>
    <x v="0"/>
    <n v="3665.6"/>
    <n v="225"/>
    <n v="29"/>
    <n v="116761.31"/>
  </r>
  <r>
    <d v="2025-04-30T00:00:00"/>
    <x v="0"/>
    <x v="1"/>
    <n v="14652.18"/>
    <n v="178"/>
    <n v="47"/>
    <n v="190657.09"/>
  </r>
  <r>
    <d v="2025-04-24T00:00:00"/>
    <x v="3"/>
    <x v="3"/>
    <n v="14520.23"/>
    <n v="137"/>
    <n v="25"/>
    <n v="102898.81"/>
  </r>
  <r>
    <d v="2025-05-14T00:00:00"/>
    <x v="0"/>
    <x v="0"/>
    <n v="13468.35"/>
    <n v="77"/>
    <n v="30"/>
    <n v="162314.72"/>
  </r>
  <r>
    <d v="2025-03-24T00:00:00"/>
    <x v="3"/>
    <x v="4"/>
    <n v="3530.3"/>
    <n v="107"/>
    <n v="21"/>
    <n v="108814.9"/>
  </r>
  <r>
    <d v="2025-03-14T00:00:00"/>
    <x v="3"/>
    <x v="0"/>
    <n v="6058.8"/>
    <n v="76"/>
    <n v="4"/>
    <n v="18625.11"/>
  </r>
  <r>
    <d v="2025-06-02T00:00:00"/>
    <x v="0"/>
    <x v="1"/>
    <n v="1763.36"/>
    <n v="37"/>
    <n v="13"/>
    <n v="30586.880000000001"/>
  </r>
  <r>
    <d v="2025-02-19T00:00:00"/>
    <x v="3"/>
    <x v="0"/>
    <n v="11302.32"/>
    <n v="156"/>
    <n v="14"/>
    <n v="50885.56"/>
  </r>
  <r>
    <d v="2025-05-03T00:00:00"/>
    <x v="0"/>
    <x v="1"/>
    <n v="10879.72"/>
    <n v="20"/>
    <n v="4"/>
    <n v="14566.19"/>
  </r>
  <r>
    <d v="2025-03-05T00:00:00"/>
    <x v="1"/>
    <x v="4"/>
    <n v="12592.91"/>
    <n v="29"/>
    <n v="11"/>
    <n v="34461.519999999997"/>
  </r>
  <r>
    <d v="2025-09-13T00:00:00"/>
    <x v="2"/>
    <x v="3"/>
    <n v="4845.87"/>
    <n v="126"/>
    <n v="19"/>
    <n v="69255.47"/>
  </r>
  <r>
    <d v="2025-07-07T00:00:00"/>
    <x v="1"/>
    <x v="2"/>
    <n v="3045.16"/>
    <n v="38"/>
    <n v="11"/>
    <n v="31847.91"/>
  </r>
  <r>
    <d v="2025-08-15T00:00:00"/>
    <x v="3"/>
    <x v="4"/>
    <n v="10587.82"/>
    <n v="99"/>
    <n v="33"/>
    <n v="33586.54"/>
  </r>
  <r>
    <d v="2025-04-02T00:00:00"/>
    <x v="1"/>
    <x v="3"/>
    <n v="14924.62"/>
    <n v="126"/>
    <n v="8"/>
    <n v="30946.59"/>
  </r>
  <r>
    <d v="2025-10-30T00:00:00"/>
    <x v="3"/>
    <x v="2"/>
    <n v="2523.9499999999998"/>
    <n v="53"/>
    <n v="17"/>
    <n v="52478.82"/>
  </r>
  <r>
    <d v="2025-03-25T00:00:00"/>
    <x v="4"/>
    <x v="3"/>
    <n v="12678.82"/>
    <n v="249"/>
    <n v="30"/>
    <n v="105074.52"/>
  </r>
  <r>
    <d v="2025-06-21T00:00:00"/>
    <x v="1"/>
    <x v="3"/>
    <n v="1735.75"/>
    <n v="75"/>
    <n v="16"/>
    <n v="57872.22"/>
  </r>
  <r>
    <d v="2025-01-12T00:00:00"/>
    <x v="3"/>
    <x v="3"/>
    <n v="5159.2700000000004"/>
    <n v="237"/>
    <n v="8"/>
    <n v="43616.05"/>
  </r>
  <r>
    <d v="2025-02-22T00:00:00"/>
    <x v="2"/>
    <x v="2"/>
    <n v="3936.94"/>
    <n v="86"/>
    <n v="34"/>
    <n v="148117.57999999999"/>
  </r>
  <r>
    <d v="2025-06-26T00:00:00"/>
    <x v="2"/>
    <x v="3"/>
    <n v="14346.93"/>
    <n v="116"/>
    <n v="31"/>
    <n v="34671.15"/>
  </r>
  <r>
    <d v="2025-12-02T00:00:00"/>
    <x v="1"/>
    <x v="4"/>
    <n v="9010.99"/>
    <n v="120"/>
    <n v="31"/>
    <n v="156595.41"/>
  </r>
  <r>
    <d v="2025-10-18T00:00:00"/>
    <x v="3"/>
    <x v="1"/>
    <n v="9346.19"/>
    <n v="50"/>
    <n v="2"/>
    <n v="2232.84"/>
  </r>
  <r>
    <d v="2025-12-16T00:00:00"/>
    <x v="0"/>
    <x v="4"/>
    <n v="11204.11"/>
    <n v="133"/>
    <n v="12"/>
    <n v="63978.43"/>
  </r>
  <r>
    <d v="2025-11-11T00:00:00"/>
    <x v="1"/>
    <x v="3"/>
    <n v="2923"/>
    <n v="103"/>
    <n v="33"/>
    <n v="105504.93"/>
  </r>
  <r>
    <d v="2025-05-18T00:00:00"/>
    <x v="0"/>
    <x v="1"/>
    <n v="12256.25"/>
    <n v="190"/>
    <n v="23"/>
    <n v="47944.26"/>
  </r>
  <r>
    <d v="2025-10-28T00:00:00"/>
    <x v="3"/>
    <x v="0"/>
    <n v="9777.8700000000008"/>
    <n v="247"/>
    <n v="28"/>
    <n v="115120.88"/>
  </r>
  <r>
    <d v="2025-12-28T00:00:00"/>
    <x v="2"/>
    <x v="3"/>
    <n v="14766.77"/>
    <n v="56"/>
    <n v="6"/>
    <n v="33267.22"/>
  </r>
  <r>
    <d v="2025-04-01T00:00:00"/>
    <x v="4"/>
    <x v="4"/>
    <n v="4009.05"/>
    <n v="52"/>
    <n v="9"/>
    <n v="35589.660000000003"/>
  </r>
  <r>
    <d v="2025-06-26T00:00:00"/>
    <x v="2"/>
    <x v="1"/>
    <n v="7157.03"/>
    <n v="172"/>
    <n v="51"/>
    <n v="219517.6"/>
  </r>
  <r>
    <d v="2025-10-08T00:00:00"/>
    <x v="3"/>
    <x v="1"/>
    <n v="12042.5"/>
    <n v="89"/>
    <n v="16"/>
    <n v="72939.39"/>
  </r>
  <r>
    <d v="2025-12-02T00:00:00"/>
    <x v="4"/>
    <x v="2"/>
    <n v="13371.46"/>
    <n v="68"/>
    <n v="12"/>
    <n v="51821.1"/>
  </r>
  <r>
    <d v="2025-02-17T00:00:00"/>
    <x v="3"/>
    <x v="0"/>
    <n v="8810.18"/>
    <n v="61"/>
    <n v="13"/>
    <n v="41671.83"/>
  </r>
  <r>
    <d v="2025-11-24T00:00:00"/>
    <x v="3"/>
    <x v="1"/>
    <n v="13645.33"/>
    <n v="118"/>
    <n v="24"/>
    <n v="25224.59"/>
  </r>
  <r>
    <d v="2025-04-05T00:00:00"/>
    <x v="0"/>
    <x v="4"/>
    <n v="7005.69"/>
    <n v="217"/>
    <n v="4"/>
    <n v="15747.34"/>
  </r>
  <r>
    <d v="2025-03-09T00:00:00"/>
    <x v="0"/>
    <x v="1"/>
    <n v="5047.68"/>
    <n v="180"/>
    <n v="62"/>
    <n v="119693.31"/>
  </r>
  <r>
    <d v="2025-03-19T00:00:00"/>
    <x v="1"/>
    <x v="3"/>
    <n v="10805.94"/>
    <n v="53"/>
    <n v="8"/>
    <n v="18630.78"/>
  </r>
  <r>
    <d v="2025-12-10T00:00:00"/>
    <x v="4"/>
    <x v="3"/>
    <n v="8604.59"/>
    <n v="204"/>
    <n v="81"/>
    <n v="266420.87"/>
  </r>
  <r>
    <d v="2025-06-01T00:00:00"/>
    <x v="4"/>
    <x v="4"/>
    <n v="14589.32"/>
    <n v="37"/>
    <n v="12"/>
    <n v="48316.19"/>
  </r>
  <r>
    <d v="2025-09-10T00:00:00"/>
    <x v="0"/>
    <x v="2"/>
    <n v="5325.34"/>
    <n v="194"/>
    <n v="46"/>
    <n v="227327.07"/>
  </r>
  <r>
    <d v="2025-12-24T00:00:00"/>
    <x v="4"/>
    <x v="0"/>
    <n v="5349.95"/>
    <n v="246"/>
    <n v="32"/>
    <n v="36450.86"/>
  </r>
  <r>
    <d v="2025-09-10T00:00:00"/>
    <x v="2"/>
    <x v="3"/>
    <n v="3725.19"/>
    <n v="175"/>
    <n v="26"/>
    <n v="100257.48"/>
  </r>
  <r>
    <d v="2025-07-06T00:00:00"/>
    <x v="3"/>
    <x v="2"/>
    <n v="10765.59"/>
    <n v="60"/>
    <n v="4"/>
    <n v="20901.23"/>
  </r>
  <r>
    <d v="2025-04-24T00:00:00"/>
    <x v="0"/>
    <x v="4"/>
    <n v="11614.37"/>
    <n v="85"/>
    <n v="8"/>
    <n v="43353.58"/>
  </r>
  <r>
    <d v="2025-07-27T00:00:00"/>
    <x v="4"/>
    <x v="4"/>
    <n v="7300.13"/>
    <n v="141"/>
    <n v="15"/>
    <n v="73091.19"/>
  </r>
  <r>
    <d v="2025-10-28T00:00:00"/>
    <x v="0"/>
    <x v="4"/>
    <n v="9146.84"/>
    <n v="122"/>
    <n v="33"/>
    <n v="86931.83"/>
  </r>
  <r>
    <d v="2025-10-17T00:00:00"/>
    <x v="2"/>
    <x v="4"/>
    <n v="5121.7"/>
    <n v="51"/>
    <n v="2"/>
    <n v="10982.98"/>
  </r>
  <r>
    <d v="2025-05-19T00:00:00"/>
    <x v="3"/>
    <x v="3"/>
    <n v="11909.28"/>
    <n v="82"/>
    <n v="16"/>
    <n v="65804.05"/>
  </r>
  <r>
    <d v="2025-03-03T00:00:00"/>
    <x v="0"/>
    <x v="3"/>
    <n v="10729.85"/>
    <n v="43"/>
    <n v="9"/>
    <n v="18027.04"/>
  </r>
  <r>
    <d v="2025-08-11T00:00:00"/>
    <x v="0"/>
    <x v="1"/>
    <n v="7356.66"/>
    <n v="197"/>
    <n v="6"/>
    <n v="14690.13"/>
  </r>
  <r>
    <d v="2025-01-20T00:00:00"/>
    <x v="4"/>
    <x v="4"/>
    <n v="6651.02"/>
    <n v="99"/>
    <n v="4"/>
    <n v="22307.22"/>
  </r>
  <r>
    <d v="2025-09-06T00:00:00"/>
    <x v="2"/>
    <x v="4"/>
    <n v="1899.21"/>
    <n v="60"/>
    <n v="12"/>
    <n v="67970.33"/>
  </r>
  <r>
    <d v="2025-03-27T00:00:00"/>
    <x v="3"/>
    <x v="4"/>
    <n v="6563.95"/>
    <n v="139"/>
    <n v="25"/>
    <n v="136508.48000000001"/>
  </r>
  <r>
    <d v="2025-12-25T00:00:00"/>
    <x v="1"/>
    <x v="4"/>
    <n v="11232.24"/>
    <n v="194"/>
    <n v="48"/>
    <n v="153674.13"/>
  </r>
  <r>
    <d v="2025-02-03T00:00:00"/>
    <x v="4"/>
    <x v="4"/>
    <n v="12734.56"/>
    <n v="42"/>
    <n v="12"/>
    <n v="67235.22"/>
  </r>
  <r>
    <d v="2025-05-07T00:00:00"/>
    <x v="4"/>
    <x v="4"/>
    <n v="13372.04"/>
    <n v="239"/>
    <n v="13"/>
    <n v="55587.01"/>
  </r>
  <r>
    <d v="2025-03-17T00:00:00"/>
    <x v="0"/>
    <x v="4"/>
    <n v="3042.65"/>
    <n v="122"/>
    <n v="24"/>
    <n v="74692.33"/>
  </r>
  <r>
    <d v="2025-11-15T00:00:00"/>
    <x v="4"/>
    <x v="2"/>
    <n v="3486.52"/>
    <n v="29"/>
    <n v="10"/>
    <n v="10648.5"/>
  </r>
  <r>
    <d v="2025-12-02T00:00:00"/>
    <x v="1"/>
    <x v="0"/>
    <n v="11257.2"/>
    <n v="43"/>
    <n v="9"/>
    <n v="27154.400000000001"/>
  </r>
  <r>
    <d v="2025-07-26T00:00:00"/>
    <x v="3"/>
    <x v="2"/>
    <n v="1105.8399999999999"/>
    <n v="142"/>
    <n v="54"/>
    <n v="122792.86"/>
  </r>
  <r>
    <d v="2025-07-11T00:00:00"/>
    <x v="4"/>
    <x v="3"/>
    <n v="11711.03"/>
    <n v="196"/>
    <n v="57"/>
    <n v="303174.18"/>
  </r>
  <r>
    <d v="2025-05-20T00:00:00"/>
    <x v="4"/>
    <x v="4"/>
    <n v="14458.65"/>
    <n v="96"/>
    <n v="15"/>
    <n v="38147.160000000003"/>
  </r>
  <r>
    <d v="2025-04-14T00:00:00"/>
    <x v="4"/>
    <x v="3"/>
    <n v="14278.12"/>
    <n v="110"/>
    <n v="15"/>
    <n v="62681.56"/>
  </r>
  <r>
    <d v="2025-10-02T00:00:00"/>
    <x v="4"/>
    <x v="1"/>
    <n v="2984.3"/>
    <n v="186"/>
    <n v="30"/>
    <n v="48717.64"/>
  </r>
  <r>
    <d v="2025-07-05T00:00:00"/>
    <x v="3"/>
    <x v="4"/>
    <n v="9743.8799999999992"/>
    <n v="156"/>
    <n v="59"/>
    <n v="108563.69"/>
  </r>
  <r>
    <d v="2025-11-16T00:00:00"/>
    <x v="2"/>
    <x v="2"/>
    <n v="1843.62"/>
    <n v="60"/>
    <n v="21"/>
    <n v="108496.24"/>
  </r>
  <r>
    <d v="2025-03-05T00:00:00"/>
    <x v="2"/>
    <x v="0"/>
    <n v="4775.54"/>
    <n v="121"/>
    <n v="33"/>
    <n v="92439.63"/>
  </r>
  <r>
    <d v="2025-06-01T00:00:00"/>
    <x v="3"/>
    <x v="3"/>
    <n v="4302.66"/>
    <n v="107"/>
    <n v="30"/>
    <n v="176444.58"/>
  </r>
  <r>
    <d v="2025-07-04T00:00:00"/>
    <x v="3"/>
    <x v="1"/>
    <n v="4259.93"/>
    <n v="202"/>
    <n v="77"/>
    <n v="343543.83"/>
  </r>
  <r>
    <d v="2025-08-12T00:00:00"/>
    <x v="0"/>
    <x v="0"/>
    <n v="11062.98"/>
    <n v="227"/>
    <n v="62"/>
    <n v="195812.4"/>
  </r>
  <r>
    <d v="2025-06-10T00:00:00"/>
    <x v="3"/>
    <x v="0"/>
    <n v="12874.61"/>
    <n v="114"/>
    <n v="30"/>
    <n v="133695.53"/>
  </r>
  <r>
    <d v="2025-08-03T00:00:00"/>
    <x v="4"/>
    <x v="3"/>
    <n v="14513.66"/>
    <n v="96"/>
    <n v="3"/>
    <n v="7586.5"/>
  </r>
  <r>
    <d v="2025-11-09T00:00:00"/>
    <x v="2"/>
    <x v="4"/>
    <n v="13570.49"/>
    <n v="109"/>
    <n v="14"/>
    <n v="24447.87"/>
  </r>
  <r>
    <d v="2025-10-08T00:00:00"/>
    <x v="3"/>
    <x v="3"/>
    <n v="9558.39"/>
    <n v="95"/>
    <n v="21"/>
    <n v="63173.81"/>
  </r>
  <r>
    <d v="2025-11-18T00:00:00"/>
    <x v="2"/>
    <x v="1"/>
    <n v="9231.3799999999992"/>
    <n v="137"/>
    <n v="30"/>
    <n v="128868.85"/>
  </r>
  <r>
    <d v="2025-11-30T00:00:00"/>
    <x v="0"/>
    <x v="4"/>
    <n v="8351.2900000000009"/>
    <n v="26"/>
    <n v="2"/>
    <n v="2509.31"/>
  </r>
  <r>
    <d v="2025-05-05T00:00:00"/>
    <x v="0"/>
    <x v="4"/>
    <n v="8379.0499999999993"/>
    <n v="113"/>
    <n v="26"/>
    <n v="121056.68"/>
  </r>
  <r>
    <d v="2025-06-18T00:00:00"/>
    <x v="3"/>
    <x v="3"/>
    <n v="6900.95"/>
    <n v="68"/>
    <n v="22"/>
    <n v="59357.69"/>
  </r>
  <r>
    <d v="2025-01-19T00:00:00"/>
    <x v="2"/>
    <x v="4"/>
    <n v="14993.89"/>
    <n v="129"/>
    <n v="13"/>
    <n v="47619.24"/>
  </r>
  <r>
    <d v="2025-04-21T00:00:00"/>
    <x v="0"/>
    <x v="3"/>
    <n v="14568.95"/>
    <n v="140"/>
    <n v="35"/>
    <n v="55315.91"/>
  </r>
  <r>
    <d v="2025-07-10T00:00:00"/>
    <x v="1"/>
    <x v="0"/>
    <n v="14360.14"/>
    <n v="170"/>
    <n v="44"/>
    <n v="61199.08"/>
  </r>
  <r>
    <d v="2025-07-12T00:00:00"/>
    <x v="1"/>
    <x v="2"/>
    <n v="13399.44"/>
    <n v="125"/>
    <n v="44"/>
    <n v="155880.26"/>
  </r>
  <r>
    <d v="2025-09-06T00:00:00"/>
    <x v="1"/>
    <x v="2"/>
    <n v="11002.77"/>
    <n v="57"/>
    <n v="6"/>
    <n v="33039.870000000003"/>
  </r>
  <r>
    <d v="2025-05-06T00:00:00"/>
    <x v="3"/>
    <x v="2"/>
    <n v="10043.49"/>
    <n v="84"/>
    <n v="12"/>
    <n v="49077.36"/>
  </r>
  <r>
    <d v="2025-09-22T00:00:00"/>
    <x v="3"/>
    <x v="0"/>
    <n v="5995.91"/>
    <n v="216"/>
    <n v="42"/>
    <n v="99083.48"/>
  </r>
  <r>
    <d v="2025-08-22T00:00:00"/>
    <x v="0"/>
    <x v="3"/>
    <n v="11762.34"/>
    <n v="58"/>
    <n v="2"/>
    <n v="9380.24"/>
  </r>
  <r>
    <d v="2025-06-11T00:00:00"/>
    <x v="2"/>
    <x v="3"/>
    <n v="6859.52"/>
    <n v="67"/>
    <n v="14"/>
    <n v="39698.44"/>
  </r>
  <r>
    <d v="2025-04-08T00:00:00"/>
    <x v="0"/>
    <x v="2"/>
    <n v="4297.09"/>
    <n v="70"/>
    <n v="21"/>
    <n v="21169.7"/>
  </r>
  <r>
    <d v="2025-10-10T00:00:00"/>
    <x v="2"/>
    <x v="3"/>
    <n v="11266.26"/>
    <n v="236"/>
    <n v="42"/>
    <n v="182186.9"/>
  </r>
  <r>
    <d v="2025-06-03T00:00:00"/>
    <x v="2"/>
    <x v="1"/>
    <n v="8931.8700000000008"/>
    <n v="101"/>
    <n v="40"/>
    <n v="88546.41"/>
  </r>
  <r>
    <d v="2025-01-12T00:00:00"/>
    <x v="4"/>
    <x v="4"/>
    <n v="4274.1899999999996"/>
    <n v="193"/>
    <n v="3"/>
    <n v="9416.6200000000008"/>
  </r>
  <r>
    <d v="2025-12-03T00:00:00"/>
    <x v="2"/>
    <x v="3"/>
    <n v="11494.02"/>
    <n v="106"/>
    <n v="29"/>
    <n v="116861"/>
  </r>
  <r>
    <d v="2025-04-26T00:00:00"/>
    <x v="3"/>
    <x v="0"/>
    <n v="12503.61"/>
    <n v="227"/>
    <n v="55"/>
    <n v="177225.99"/>
  </r>
  <r>
    <d v="2025-06-30T00:00:00"/>
    <x v="4"/>
    <x v="1"/>
    <n v="7266.13"/>
    <n v="99"/>
    <n v="34"/>
    <n v="125451.91"/>
  </r>
  <r>
    <d v="2025-04-29T00:00:00"/>
    <x v="0"/>
    <x v="4"/>
    <n v="10189.19"/>
    <n v="184"/>
    <n v="21"/>
    <n v="113929.14"/>
  </r>
  <r>
    <d v="2025-02-24T00:00:00"/>
    <x v="1"/>
    <x v="1"/>
    <n v="13896.8"/>
    <n v="150"/>
    <n v="39"/>
    <n v="105259.91"/>
  </r>
  <r>
    <d v="2025-06-05T00:00:00"/>
    <x v="4"/>
    <x v="0"/>
    <n v="14052.42"/>
    <n v="173"/>
    <n v="66"/>
    <n v="293535.71000000002"/>
  </r>
  <r>
    <d v="2025-03-06T00:00:00"/>
    <x v="2"/>
    <x v="3"/>
    <n v="9743.2999999999993"/>
    <n v="197"/>
    <n v="13"/>
    <n v="14960.95"/>
  </r>
  <r>
    <d v="2025-03-17T00:00:00"/>
    <x v="1"/>
    <x v="1"/>
    <n v="7093.93"/>
    <n v="213"/>
    <n v="83"/>
    <n v="296879.28000000003"/>
  </r>
  <r>
    <d v="2025-11-05T00:00:00"/>
    <x v="3"/>
    <x v="3"/>
    <n v="4558.2700000000004"/>
    <n v="91"/>
    <n v="9"/>
    <n v="15827.79"/>
  </r>
  <r>
    <d v="2025-02-01T00:00:00"/>
    <x v="3"/>
    <x v="0"/>
    <n v="14470.03"/>
    <n v="218"/>
    <n v="60"/>
    <n v="339736.51"/>
  </r>
  <r>
    <d v="2025-09-06T00:00:00"/>
    <x v="2"/>
    <x v="3"/>
    <n v="13381.7"/>
    <n v="104"/>
    <n v="31"/>
    <n v="127165.34"/>
  </r>
  <r>
    <d v="2025-07-18T00:00:00"/>
    <x v="2"/>
    <x v="0"/>
    <n v="3797.62"/>
    <n v="130"/>
    <n v="37"/>
    <n v="44580.05"/>
  </r>
  <r>
    <d v="2025-08-31T00:00:00"/>
    <x v="2"/>
    <x v="0"/>
    <n v="6467.49"/>
    <n v="208"/>
    <n v="63"/>
    <n v="110388.08"/>
  </r>
  <r>
    <d v="2025-01-26T00:00:00"/>
    <x v="4"/>
    <x v="2"/>
    <n v="7032.13"/>
    <n v="142"/>
    <n v="13"/>
    <n v="53504.76"/>
  </r>
  <r>
    <d v="2025-05-31T00:00:00"/>
    <x v="3"/>
    <x v="1"/>
    <n v="8509.41"/>
    <n v="187"/>
    <n v="53"/>
    <n v="96194.559999999998"/>
  </r>
  <r>
    <d v="2025-10-16T00:00:00"/>
    <x v="2"/>
    <x v="4"/>
    <n v="4009.31"/>
    <n v="107"/>
    <n v="13"/>
    <n v="42531.3"/>
  </r>
  <r>
    <d v="2025-11-13T00:00:00"/>
    <x v="4"/>
    <x v="1"/>
    <n v="14060.07"/>
    <n v="126"/>
    <n v="16"/>
    <n v="38892.589999999997"/>
  </r>
  <r>
    <d v="2025-05-23T00:00:00"/>
    <x v="3"/>
    <x v="3"/>
    <n v="1772.23"/>
    <n v="123"/>
    <n v="6"/>
    <n v="31423.08"/>
  </r>
  <r>
    <d v="2025-05-18T00:00:00"/>
    <x v="0"/>
    <x v="3"/>
    <n v="2748.25"/>
    <n v="109"/>
    <n v="29"/>
    <n v="75072.2"/>
  </r>
  <r>
    <d v="2025-10-23T00:00:00"/>
    <x v="0"/>
    <x v="1"/>
    <n v="7706.69"/>
    <n v="234"/>
    <n v="52"/>
    <n v="71582.039999999994"/>
  </r>
  <r>
    <d v="2025-01-29T00:00:00"/>
    <x v="4"/>
    <x v="4"/>
    <n v="8343.9699999999993"/>
    <n v="248"/>
    <n v="39"/>
    <n v="61846.46"/>
  </r>
  <r>
    <d v="2025-03-12T00:00:00"/>
    <x v="2"/>
    <x v="4"/>
    <n v="12730.07"/>
    <n v="234"/>
    <n v="78"/>
    <n v="339573.75"/>
  </r>
  <r>
    <d v="2025-03-10T00:00:00"/>
    <x v="2"/>
    <x v="0"/>
    <n v="6078.69"/>
    <n v="231"/>
    <n v="37"/>
    <n v="134788.84"/>
  </r>
  <r>
    <d v="2025-08-31T00:00:00"/>
    <x v="1"/>
    <x v="2"/>
    <n v="8509.31"/>
    <n v="64"/>
    <n v="24"/>
    <n v="29119.43"/>
  </r>
  <r>
    <d v="2025-01-18T00:00:00"/>
    <x v="0"/>
    <x v="3"/>
    <n v="14423.13"/>
    <n v="26"/>
    <n v="9"/>
    <n v="39333.42"/>
  </r>
  <r>
    <d v="2025-10-24T00:00:00"/>
    <x v="3"/>
    <x v="4"/>
    <n v="9934.69"/>
    <n v="202"/>
    <n v="6"/>
    <n v="26409.09"/>
  </r>
  <r>
    <d v="2025-12-28T00:00:00"/>
    <x v="3"/>
    <x v="2"/>
    <n v="14791.16"/>
    <n v="225"/>
    <n v="39"/>
    <n v="152500.34"/>
  </r>
  <r>
    <d v="2025-11-07T00:00:00"/>
    <x v="3"/>
    <x v="0"/>
    <n v="12322.56"/>
    <n v="52"/>
    <n v="1"/>
    <n v="4413.54"/>
  </r>
  <r>
    <d v="2025-01-05T00:00:00"/>
    <x v="2"/>
    <x v="0"/>
    <n v="5737.2"/>
    <n v="36"/>
    <n v="5"/>
    <n v="5217.8100000000004"/>
  </r>
  <r>
    <d v="2025-07-03T00:00:00"/>
    <x v="1"/>
    <x v="4"/>
    <n v="2462.14"/>
    <n v="166"/>
    <n v="41"/>
    <n v="160061.39000000001"/>
  </r>
  <r>
    <d v="2025-02-27T00:00:00"/>
    <x v="3"/>
    <x v="2"/>
    <n v="6466.85"/>
    <n v="164"/>
    <n v="9"/>
    <n v="11939.27"/>
  </r>
  <r>
    <d v="2025-09-05T00:00:00"/>
    <x v="2"/>
    <x v="0"/>
    <n v="14269.76"/>
    <n v="73"/>
    <n v="4"/>
    <n v="11585.55"/>
  </r>
  <r>
    <d v="2025-02-08T00:00:00"/>
    <x v="4"/>
    <x v="3"/>
    <n v="8768.06"/>
    <n v="198"/>
    <n v="53"/>
    <n v="296052.67"/>
  </r>
  <r>
    <d v="2025-01-21T00:00:00"/>
    <x v="4"/>
    <x v="4"/>
    <n v="2012.81"/>
    <n v="201"/>
    <n v="75"/>
    <n v="271225.65000000002"/>
  </r>
  <r>
    <d v="2025-02-20T00:00:00"/>
    <x v="0"/>
    <x v="3"/>
    <n v="6142.33"/>
    <n v="227"/>
    <n v="37"/>
    <n v="166260.18"/>
  </r>
  <r>
    <d v="2025-08-15T00:00:00"/>
    <x v="4"/>
    <x v="2"/>
    <n v="9924.74"/>
    <n v="192"/>
    <n v="36"/>
    <n v="191958.17"/>
  </r>
  <r>
    <d v="2025-10-27T00:00:00"/>
    <x v="3"/>
    <x v="3"/>
    <n v="2009.82"/>
    <n v="65"/>
    <n v="2"/>
    <n v="8900.7000000000007"/>
  </r>
  <r>
    <d v="2025-05-09T00:00:00"/>
    <x v="2"/>
    <x v="3"/>
    <n v="6592.27"/>
    <n v="142"/>
    <n v="3"/>
    <n v="14593.87"/>
  </r>
  <r>
    <d v="2025-10-28T00:00:00"/>
    <x v="1"/>
    <x v="2"/>
    <n v="7452.92"/>
    <n v="209"/>
    <n v="43"/>
    <n v="54709.04"/>
  </r>
  <r>
    <d v="2025-07-24T00:00:00"/>
    <x v="0"/>
    <x v="1"/>
    <n v="6545.2"/>
    <n v="61"/>
    <n v="10"/>
    <n v="32676.22"/>
  </r>
  <r>
    <d v="2025-09-12T00:00:00"/>
    <x v="4"/>
    <x v="2"/>
    <n v="9240.7000000000007"/>
    <n v="213"/>
    <n v="32"/>
    <n v="58545.66"/>
  </r>
  <r>
    <d v="2025-02-21T00:00:00"/>
    <x v="4"/>
    <x v="1"/>
    <n v="3779.15"/>
    <n v="136"/>
    <n v="4"/>
    <n v="18343.57"/>
  </r>
  <r>
    <d v="2025-11-02T00:00:00"/>
    <x v="1"/>
    <x v="4"/>
    <n v="7001.88"/>
    <n v="99"/>
    <n v="28"/>
    <n v="155684.06"/>
  </r>
  <r>
    <d v="2025-02-02T00:00:00"/>
    <x v="2"/>
    <x v="0"/>
    <n v="10087.370000000001"/>
    <n v="229"/>
    <n v="37"/>
    <n v="128404.11"/>
  </r>
  <r>
    <d v="2025-02-21T00:00:00"/>
    <x v="1"/>
    <x v="4"/>
    <n v="11007.43"/>
    <n v="237"/>
    <n v="27"/>
    <n v="58472.26"/>
  </r>
  <r>
    <d v="2025-08-16T00:00:00"/>
    <x v="3"/>
    <x v="2"/>
    <n v="13922.86"/>
    <n v="147"/>
    <n v="8"/>
    <n v="20263.97"/>
  </r>
  <r>
    <d v="2025-04-28T00:00:00"/>
    <x v="3"/>
    <x v="4"/>
    <n v="3530.71"/>
    <n v="105"/>
    <n v="29"/>
    <n v="124157.45"/>
  </r>
  <r>
    <d v="2025-02-19T00:00:00"/>
    <x v="3"/>
    <x v="0"/>
    <n v="3657.13"/>
    <n v="61"/>
    <n v="8"/>
    <n v="45025.02"/>
  </r>
  <r>
    <d v="2025-09-06T00:00:00"/>
    <x v="4"/>
    <x v="2"/>
    <n v="14510.07"/>
    <n v="236"/>
    <n v="86"/>
    <n v="180297.73"/>
  </r>
  <r>
    <d v="2025-01-25T00:00:00"/>
    <x v="0"/>
    <x v="0"/>
    <n v="3208.38"/>
    <n v="209"/>
    <n v="29"/>
    <n v="39274.03"/>
  </r>
  <r>
    <d v="2025-03-10T00:00:00"/>
    <x v="3"/>
    <x v="0"/>
    <n v="12445.74"/>
    <n v="99"/>
    <n v="16"/>
    <n v="34051.21"/>
  </r>
  <r>
    <d v="2025-02-12T00:00:00"/>
    <x v="3"/>
    <x v="4"/>
    <n v="8391.36"/>
    <n v="200"/>
    <n v="76"/>
    <n v="332770.12"/>
  </r>
  <r>
    <d v="2025-02-27T00:00:00"/>
    <x v="3"/>
    <x v="1"/>
    <n v="5482.12"/>
    <n v="240"/>
    <n v="5"/>
    <n v="25835.55"/>
  </r>
  <r>
    <d v="2025-09-01T00:00:00"/>
    <x v="3"/>
    <x v="2"/>
    <n v="7437.12"/>
    <n v="99"/>
    <n v="32"/>
    <n v="179019.17"/>
  </r>
  <r>
    <d v="2025-01-12T00:00:00"/>
    <x v="3"/>
    <x v="2"/>
    <n v="2071.88"/>
    <n v="100"/>
    <n v="32"/>
    <n v="70478.58"/>
  </r>
  <r>
    <d v="2025-03-24T00:00:00"/>
    <x v="2"/>
    <x v="3"/>
    <n v="10785.91"/>
    <n v="74"/>
    <n v="19"/>
    <n v="86950.02"/>
  </r>
  <r>
    <d v="2025-08-20T00:00:00"/>
    <x v="2"/>
    <x v="1"/>
    <n v="14234.85"/>
    <n v="212"/>
    <n v="50"/>
    <n v="151349.73000000001"/>
  </r>
  <r>
    <d v="2025-04-23T00:00:00"/>
    <x v="1"/>
    <x v="3"/>
    <n v="5297.13"/>
    <n v="248"/>
    <n v="3"/>
    <n v="12244.25"/>
  </r>
  <r>
    <d v="2025-01-21T00:00:00"/>
    <x v="3"/>
    <x v="3"/>
    <n v="8697.0300000000007"/>
    <n v="36"/>
    <n v="12"/>
    <n v="13378.39"/>
  </r>
  <r>
    <d v="2025-05-29T00:00:00"/>
    <x v="3"/>
    <x v="2"/>
    <n v="13756.54"/>
    <n v="183"/>
    <n v="47"/>
    <n v="140380.66"/>
  </r>
  <r>
    <d v="2025-04-27T00:00:00"/>
    <x v="3"/>
    <x v="0"/>
    <n v="14151.33"/>
    <n v="123"/>
    <n v="32"/>
    <n v="127100.45"/>
  </r>
  <r>
    <d v="2025-02-28T00:00:00"/>
    <x v="3"/>
    <x v="2"/>
    <n v="9802.2000000000007"/>
    <n v="52"/>
    <n v="4"/>
    <n v="15560"/>
  </r>
  <r>
    <d v="2025-12-19T00:00:00"/>
    <x v="0"/>
    <x v="0"/>
    <n v="9656.73"/>
    <n v="181"/>
    <n v="9"/>
    <n v="52342.86"/>
  </r>
  <r>
    <d v="2025-05-23T00:00:00"/>
    <x v="2"/>
    <x v="1"/>
    <n v="10499.07"/>
    <n v="102"/>
    <n v="17"/>
    <n v="41870.99"/>
  </r>
  <r>
    <d v="2025-02-27T00:00:00"/>
    <x v="2"/>
    <x v="4"/>
    <n v="6640.14"/>
    <n v="35"/>
    <n v="3"/>
    <n v="11958.11"/>
  </r>
  <r>
    <d v="2025-10-06T00:00:00"/>
    <x v="3"/>
    <x v="1"/>
    <n v="3752.89"/>
    <n v="35"/>
    <n v="6"/>
    <n v="25227.11"/>
  </r>
  <r>
    <d v="2025-01-09T00:00:00"/>
    <x v="3"/>
    <x v="3"/>
    <n v="6451.02"/>
    <n v="234"/>
    <n v="3"/>
    <n v="15007.12"/>
  </r>
  <r>
    <d v="2025-05-31T00:00:00"/>
    <x v="2"/>
    <x v="4"/>
    <n v="10775.04"/>
    <n v="173"/>
    <n v="11"/>
    <n v="30796.65"/>
  </r>
  <r>
    <d v="2025-10-05T00:00:00"/>
    <x v="1"/>
    <x v="1"/>
    <n v="11618.07"/>
    <n v="232"/>
    <n v="37"/>
    <n v="100106.78"/>
  </r>
  <r>
    <d v="2025-03-05T00:00:00"/>
    <x v="3"/>
    <x v="2"/>
    <n v="9836.2900000000009"/>
    <n v="58"/>
    <n v="23"/>
    <n v="56927.6"/>
  </r>
  <r>
    <d v="2025-11-29T00:00:00"/>
    <x v="2"/>
    <x v="0"/>
    <n v="5189.99"/>
    <n v="77"/>
    <n v="22"/>
    <n v="26830.76"/>
  </r>
  <r>
    <d v="2025-03-28T00:00:00"/>
    <x v="3"/>
    <x v="3"/>
    <n v="6469.87"/>
    <n v="29"/>
    <n v="6"/>
    <n v="33984.21"/>
  </r>
  <r>
    <d v="2025-06-14T00:00:00"/>
    <x v="2"/>
    <x v="0"/>
    <n v="7258.94"/>
    <n v="138"/>
    <n v="15"/>
    <n v="36580.46"/>
  </r>
  <r>
    <d v="2025-06-06T00:00:00"/>
    <x v="2"/>
    <x v="4"/>
    <n v="6421.27"/>
    <n v="46"/>
    <n v="15"/>
    <n v="65643.039999999994"/>
  </r>
  <r>
    <d v="2025-03-16T00:00:00"/>
    <x v="2"/>
    <x v="4"/>
    <n v="13193.88"/>
    <n v="159"/>
    <n v="32"/>
    <n v="103215.07"/>
  </r>
  <r>
    <d v="2025-02-22T00:00:00"/>
    <x v="0"/>
    <x v="2"/>
    <n v="10413.1"/>
    <n v="208"/>
    <n v="1"/>
    <n v="5775.5"/>
  </r>
  <r>
    <d v="2025-06-17T00:00:00"/>
    <x v="4"/>
    <x v="1"/>
    <n v="11911.21"/>
    <n v="236"/>
    <n v="69"/>
    <n v="373195.88"/>
  </r>
  <r>
    <d v="2025-09-24T00:00:00"/>
    <x v="0"/>
    <x v="2"/>
    <n v="6765.77"/>
    <n v="105"/>
    <n v="12"/>
    <n v="17583.240000000002"/>
  </r>
  <r>
    <d v="2025-01-16T00:00:00"/>
    <x v="2"/>
    <x v="3"/>
    <n v="14685"/>
    <n v="30"/>
    <n v="12"/>
    <n v="54786.83"/>
  </r>
  <r>
    <d v="2025-06-19T00:00:00"/>
    <x v="1"/>
    <x v="4"/>
    <n v="9402.73"/>
    <n v="247"/>
    <n v="58"/>
    <n v="64983.15"/>
  </r>
  <r>
    <d v="2025-08-17T00:00:00"/>
    <x v="2"/>
    <x v="4"/>
    <n v="8389.23"/>
    <n v="163"/>
    <n v="50"/>
    <n v="199616.81"/>
  </r>
  <r>
    <d v="2025-10-12T00:00:00"/>
    <x v="2"/>
    <x v="0"/>
    <n v="1051.78"/>
    <n v="125"/>
    <n v="31"/>
    <n v="176398.7"/>
  </r>
  <r>
    <d v="2025-03-07T00:00:00"/>
    <x v="2"/>
    <x v="3"/>
    <n v="11925.14"/>
    <n v="240"/>
    <n v="11"/>
    <n v="63367.54"/>
  </r>
  <r>
    <d v="2025-09-20T00:00:00"/>
    <x v="0"/>
    <x v="0"/>
    <n v="10293.27"/>
    <n v="46"/>
    <n v="3"/>
    <n v="17825.669999999998"/>
  </r>
  <r>
    <d v="2025-05-02T00:00:00"/>
    <x v="0"/>
    <x v="3"/>
    <n v="2636.95"/>
    <n v="102"/>
    <n v="7"/>
    <n v="39729.300000000003"/>
  </r>
  <r>
    <d v="2025-03-12T00:00:00"/>
    <x v="3"/>
    <x v="0"/>
    <n v="2428.4299999999998"/>
    <n v="211"/>
    <n v="4"/>
    <n v="11228.24"/>
  </r>
  <r>
    <d v="2025-09-23T00:00:00"/>
    <x v="1"/>
    <x v="2"/>
    <n v="2897.49"/>
    <n v="122"/>
    <n v="24"/>
    <n v="77717.14"/>
  </r>
  <r>
    <d v="2025-04-26T00:00:00"/>
    <x v="1"/>
    <x v="2"/>
    <n v="5882.02"/>
    <n v="138"/>
    <n v="19"/>
    <n v="73231.179999999993"/>
  </r>
  <r>
    <d v="2025-10-26T00:00:00"/>
    <x v="3"/>
    <x v="3"/>
    <n v="3027.14"/>
    <n v="33"/>
    <n v="2"/>
    <n v="9318.16"/>
  </r>
  <r>
    <d v="2025-09-09T00:00:00"/>
    <x v="4"/>
    <x v="1"/>
    <n v="4765.49"/>
    <n v="70"/>
    <n v="23"/>
    <n v="100699.56"/>
  </r>
  <r>
    <d v="2025-06-26T00:00:00"/>
    <x v="2"/>
    <x v="2"/>
    <n v="13638.1"/>
    <n v="161"/>
    <n v="27"/>
    <n v="139953.98000000001"/>
  </r>
  <r>
    <d v="2025-06-14T00:00:00"/>
    <x v="0"/>
    <x v="0"/>
    <n v="8563.65"/>
    <n v="189"/>
    <n v="8"/>
    <n v="24055.35"/>
  </r>
  <r>
    <d v="2025-01-31T00:00:00"/>
    <x v="0"/>
    <x v="1"/>
    <n v="9228.35"/>
    <n v="114"/>
    <n v="36"/>
    <n v="126842.86"/>
  </r>
  <r>
    <d v="2025-09-12T00:00:00"/>
    <x v="1"/>
    <x v="1"/>
    <n v="8572.7800000000007"/>
    <n v="94"/>
    <n v="20"/>
    <n v="65161.19"/>
  </r>
  <r>
    <d v="2025-08-20T00:00:00"/>
    <x v="2"/>
    <x v="4"/>
    <n v="3554.06"/>
    <n v="206"/>
    <n v="81"/>
    <n v="427435.6"/>
  </r>
  <r>
    <d v="2025-10-25T00:00:00"/>
    <x v="1"/>
    <x v="3"/>
    <n v="14893.76"/>
    <n v="107"/>
    <n v="8"/>
    <n v="45191.96"/>
  </r>
  <r>
    <d v="2025-04-24T00:00:00"/>
    <x v="1"/>
    <x v="3"/>
    <n v="13780.49"/>
    <n v="117"/>
    <n v="32"/>
    <n v="71430.14"/>
  </r>
  <r>
    <d v="2025-11-23T00:00:00"/>
    <x v="4"/>
    <x v="1"/>
    <n v="7325.38"/>
    <n v="160"/>
    <n v="4"/>
    <n v="14963.5"/>
  </r>
  <r>
    <d v="2025-08-09T00:00:00"/>
    <x v="0"/>
    <x v="2"/>
    <n v="6147.28"/>
    <n v="149"/>
    <n v="15"/>
    <n v="66099.13"/>
  </r>
  <r>
    <d v="2025-03-14T00:00:00"/>
    <x v="3"/>
    <x v="0"/>
    <n v="14732.18"/>
    <n v="182"/>
    <n v="20"/>
    <n v="98127.360000000001"/>
  </r>
  <r>
    <d v="2025-02-25T00:00:00"/>
    <x v="1"/>
    <x v="3"/>
    <n v="8055.12"/>
    <n v="213"/>
    <n v="34"/>
    <n v="156075.22"/>
  </r>
  <r>
    <d v="2025-04-18T00:00:00"/>
    <x v="2"/>
    <x v="0"/>
    <n v="11401.9"/>
    <n v="128"/>
    <n v="11"/>
    <n v="24993.51"/>
  </r>
  <r>
    <d v="2025-04-30T00:00:00"/>
    <x v="0"/>
    <x v="2"/>
    <n v="4981.5"/>
    <n v="28"/>
    <n v="8"/>
    <n v="13963.63"/>
  </r>
  <r>
    <d v="2025-07-28T00:00:00"/>
    <x v="2"/>
    <x v="4"/>
    <n v="12560.12"/>
    <n v="130"/>
    <n v="43"/>
    <n v="165552.78"/>
  </r>
  <r>
    <d v="2025-01-29T00:00:00"/>
    <x v="3"/>
    <x v="4"/>
    <n v="2095.7600000000002"/>
    <n v="44"/>
    <n v="13"/>
    <n v="31620.26"/>
  </r>
  <r>
    <d v="2025-05-15T00:00:00"/>
    <x v="2"/>
    <x v="4"/>
    <n v="10081.549999999999"/>
    <n v="44"/>
    <n v="10"/>
    <n v="11304.03"/>
  </r>
  <r>
    <d v="2025-04-19T00:00:00"/>
    <x v="2"/>
    <x v="4"/>
    <n v="4868.43"/>
    <n v="21"/>
    <n v="6"/>
    <n v="14731.16"/>
  </r>
  <r>
    <d v="2025-07-15T00:00:00"/>
    <x v="4"/>
    <x v="4"/>
    <n v="11291.7"/>
    <n v="175"/>
    <n v="17"/>
    <n v="39314.300000000003"/>
  </r>
  <r>
    <d v="2025-12-15T00:00:00"/>
    <x v="2"/>
    <x v="1"/>
    <n v="1163.81"/>
    <n v="242"/>
    <n v="10"/>
    <n v="46427.97"/>
  </r>
  <r>
    <d v="2025-04-25T00:00:00"/>
    <x v="1"/>
    <x v="0"/>
    <n v="14444.26"/>
    <n v="120"/>
    <n v="43"/>
    <n v="59010.71"/>
  </r>
  <r>
    <d v="2025-07-09T00:00:00"/>
    <x v="1"/>
    <x v="0"/>
    <n v="5273.96"/>
    <n v="159"/>
    <n v="25"/>
    <n v="37456.339999999997"/>
  </r>
  <r>
    <d v="2025-10-30T00:00:00"/>
    <x v="2"/>
    <x v="1"/>
    <n v="1355.71"/>
    <n v="130"/>
    <n v="1"/>
    <n v="4899.87"/>
  </r>
  <r>
    <d v="2025-04-09T00:00:00"/>
    <x v="0"/>
    <x v="2"/>
    <n v="13257.9"/>
    <n v="111"/>
    <n v="39"/>
    <n v="94875.24"/>
  </r>
  <r>
    <d v="2025-10-22T00:00:00"/>
    <x v="2"/>
    <x v="0"/>
    <n v="7002.81"/>
    <n v="44"/>
    <n v="14"/>
    <n v="49978.97"/>
  </r>
  <r>
    <d v="2025-09-09T00:00:00"/>
    <x v="4"/>
    <x v="4"/>
    <n v="8074.41"/>
    <n v="95"/>
    <n v="29"/>
    <n v="54477.64"/>
  </r>
  <r>
    <d v="2025-06-09T00:00:00"/>
    <x v="0"/>
    <x v="1"/>
    <n v="2081.96"/>
    <n v="47"/>
    <n v="12"/>
    <n v="63837.86"/>
  </r>
  <r>
    <d v="2025-06-05T00:00:00"/>
    <x v="3"/>
    <x v="1"/>
    <n v="1334.31"/>
    <n v="123"/>
    <n v="16"/>
    <n v="83960.960000000006"/>
  </r>
  <r>
    <d v="2025-01-10T00:00:00"/>
    <x v="3"/>
    <x v="1"/>
    <n v="2644.13"/>
    <n v="135"/>
    <n v="28"/>
    <n v="114463.08"/>
  </r>
  <r>
    <d v="2025-11-22T00:00:00"/>
    <x v="3"/>
    <x v="3"/>
    <n v="1848.84"/>
    <n v="113"/>
    <n v="1"/>
    <n v="4085.62"/>
  </r>
  <r>
    <d v="2025-03-05T00:00:00"/>
    <x v="0"/>
    <x v="3"/>
    <n v="8957.83"/>
    <n v="33"/>
    <n v="10"/>
    <n v="41399.629999999997"/>
  </r>
  <r>
    <d v="2025-08-02T00:00:00"/>
    <x v="2"/>
    <x v="1"/>
    <n v="6377.66"/>
    <n v="36"/>
    <n v="9"/>
    <n v="42532.72"/>
  </r>
  <r>
    <d v="2025-02-21T00:00:00"/>
    <x v="2"/>
    <x v="2"/>
    <n v="11516.13"/>
    <n v="85"/>
    <n v="15"/>
    <n v="42388"/>
  </r>
  <r>
    <d v="2025-01-27T00:00:00"/>
    <x v="4"/>
    <x v="4"/>
    <n v="3161.13"/>
    <n v="96"/>
    <n v="5"/>
    <n v="13173.92"/>
  </r>
  <r>
    <d v="2025-07-06T00:00:00"/>
    <x v="4"/>
    <x v="4"/>
    <n v="14806.47"/>
    <n v="153"/>
    <n v="53"/>
    <n v="94865.97"/>
  </r>
  <r>
    <d v="2025-12-23T00:00:00"/>
    <x v="4"/>
    <x v="4"/>
    <n v="1505.49"/>
    <n v="87"/>
    <n v="28"/>
    <n v="144794.84"/>
  </r>
  <r>
    <d v="2025-08-26T00:00:00"/>
    <x v="4"/>
    <x v="1"/>
    <n v="8188.23"/>
    <n v="139"/>
    <n v="18"/>
    <n v="31115.02"/>
  </r>
  <r>
    <d v="2025-10-12T00:00:00"/>
    <x v="3"/>
    <x v="4"/>
    <n v="11278.94"/>
    <n v="63"/>
    <n v="11"/>
    <n v="15967.21"/>
  </r>
  <r>
    <d v="2025-12-17T00:00:00"/>
    <x v="2"/>
    <x v="3"/>
    <n v="11530.86"/>
    <n v="178"/>
    <n v="64"/>
    <n v="336780.68"/>
  </r>
  <r>
    <d v="2025-04-14T00:00:00"/>
    <x v="4"/>
    <x v="4"/>
    <n v="4597.63"/>
    <n v="111"/>
    <n v="9"/>
    <n v="19883.47"/>
  </r>
  <r>
    <d v="2025-03-30T00:00:00"/>
    <x v="3"/>
    <x v="0"/>
    <n v="8298.36"/>
    <n v="211"/>
    <n v="5"/>
    <n v="16753.939999999999"/>
  </r>
  <r>
    <d v="2025-01-30T00:00:00"/>
    <x v="4"/>
    <x v="4"/>
    <n v="2468.91"/>
    <n v="221"/>
    <n v="84"/>
    <n v="387766.2"/>
  </r>
  <r>
    <d v="2025-02-17T00:00:00"/>
    <x v="0"/>
    <x v="4"/>
    <n v="8045.14"/>
    <n v="106"/>
    <n v="39"/>
    <n v="81839.11"/>
  </r>
  <r>
    <d v="2025-05-06T00:00:00"/>
    <x v="2"/>
    <x v="4"/>
    <n v="2417.88"/>
    <n v="188"/>
    <n v="66"/>
    <n v="367907.96"/>
  </r>
  <r>
    <d v="2025-06-25T00:00:00"/>
    <x v="1"/>
    <x v="0"/>
    <n v="7555.1"/>
    <n v="26"/>
    <n v="8"/>
    <n v="36242.69"/>
  </r>
  <r>
    <d v="2025-12-07T00:00:00"/>
    <x v="1"/>
    <x v="2"/>
    <n v="7517.09"/>
    <n v="205"/>
    <n v="66"/>
    <n v="100682.97"/>
  </r>
  <r>
    <d v="2025-11-05T00:00:00"/>
    <x v="4"/>
    <x v="0"/>
    <n v="5354.02"/>
    <n v="76"/>
    <n v="13"/>
    <n v="74590.289999999994"/>
  </r>
  <r>
    <d v="2025-08-26T00:00:00"/>
    <x v="4"/>
    <x v="2"/>
    <n v="3234.68"/>
    <n v="173"/>
    <n v="64"/>
    <n v="329505.73"/>
  </r>
  <r>
    <d v="2025-06-13T00:00:00"/>
    <x v="4"/>
    <x v="3"/>
    <n v="11035.94"/>
    <n v="86"/>
    <n v="2"/>
    <n v="7864.63"/>
  </r>
  <r>
    <d v="2025-02-16T00:00:00"/>
    <x v="4"/>
    <x v="0"/>
    <n v="12402.41"/>
    <n v="35"/>
    <n v="9"/>
    <n v="33085.5"/>
  </r>
  <r>
    <d v="2025-12-26T00:00:00"/>
    <x v="2"/>
    <x v="2"/>
    <n v="7672.2"/>
    <n v="140"/>
    <n v="24"/>
    <n v="40946.31"/>
  </r>
  <r>
    <d v="2025-11-11T00:00:00"/>
    <x v="2"/>
    <x v="0"/>
    <n v="7178.08"/>
    <n v="218"/>
    <n v="70"/>
    <n v="210280.79"/>
  </r>
  <r>
    <d v="2025-04-08T00:00:00"/>
    <x v="1"/>
    <x v="1"/>
    <n v="5761.07"/>
    <n v="20"/>
    <n v="3"/>
    <n v="6113.39"/>
  </r>
  <r>
    <d v="2025-06-21T00:00:00"/>
    <x v="1"/>
    <x v="4"/>
    <n v="3042.12"/>
    <n v="165"/>
    <n v="43"/>
    <n v="190956.39"/>
  </r>
  <r>
    <d v="2025-11-08T00:00:00"/>
    <x v="4"/>
    <x v="2"/>
    <n v="11911.42"/>
    <n v="86"/>
    <n v="30"/>
    <n v="178283.83"/>
  </r>
  <r>
    <d v="2025-03-08T00:00:00"/>
    <x v="1"/>
    <x v="1"/>
    <n v="4138.6499999999996"/>
    <n v="55"/>
    <n v="19"/>
    <n v="91324.13"/>
  </r>
  <r>
    <d v="2025-08-04T00:00:00"/>
    <x v="1"/>
    <x v="3"/>
    <n v="1606.56"/>
    <n v="60"/>
    <n v="1"/>
    <n v="3004.12"/>
  </r>
  <r>
    <d v="2025-05-08T00:00:00"/>
    <x v="1"/>
    <x v="1"/>
    <n v="14381.56"/>
    <n v="120"/>
    <n v="21"/>
    <n v="31380.49"/>
  </r>
  <r>
    <d v="2025-08-16T00:00:00"/>
    <x v="3"/>
    <x v="1"/>
    <n v="13418.11"/>
    <n v="70"/>
    <n v="2"/>
    <n v="2537.8000000000002"/>
  </r>
  <r>
    <d v="2025-02-09T00:00:00"/>
    <x v="0"/>
    <x v="1"/>
    <n v="3175.83"/>
    <n v="47"/>
    <n v="2"/>
    <n v="9779.7199999999993"/>
  </r>
  <r>
    <d v="2025-02-20T00:00:00"/>
    <x v="3"/>
    <x v="4"/>
    <n v="12186.72"/>
    <n v="240"/>
    <n v="15"/>
    <n v="40700.959999999999"/>
  </r>
  <r>
    <d v="2025-12-23T00:00:00"/>
    <x v="1"/>
    <x v="0"/>
    <n v="11149.61"/>
    <n v="232"/>
    <n v="48"/>
    <n v="91153"/>
  </r>
  <r>
    <d v="2025-10-08T00:00:00"/>
    <x v="2"/>
    <x v="4"/>
    <n v="2139.16"/>
    <n v="175"/>
    <n v="33"/>
    <n v="168001.67"/>
  </r>
  <r>
    <d v="2025-09-15T00:00:00"/>
    <x v="2"/>
    <x v="1"/>
    <n v="2996.94"/>
    <n v="121"/>
    <n v="27"/>
    <n v="36957.699999999997"/>
  </r>
  <r>
    <d v="2025-01-23T00:00:00"/>
    <x v="1"/>
    <x v="3"/>
    <n v="5856.77"/>
    <n v="143"/>
    <n v="8"/>
    <n v="8044.12"/>
  </r>
  <r>
    <d v="2025-11-16T00:00:00"/>
    <x v="1"/>
    <x v="4"/>
    <n v="11837.83"/>
    <n v="197"/>
    <n v="18"/>
    <n v="46386.93"/>
  </r>
  <r>
    <d v="2025-08-05T00:00:00"/>
    <x v="0"/>
    <x v="2"/>
    <n v="8041.82"/>
    <n v="164"/>
    <n v="60"/>
    <n v="241831.26"/>
  </r>
  <r>
    <d v="2025-02-15T00:00:00"/>
    <x v="2"/>
    <x v="4"/>
    <n v="8314.9"/>
    <n v="177"/>
    <n v="50"/>
    <n v="168625.48"/>
  </r>
  <r>
    <d v="2025-05-06T00:00:00"/>
    <x v="0"/>
    <x v="2"/>
    <n v="13717.99"/>
    <n v="73"/>
    <n v="1"/>
    <n v="1982.46"/>
  </r>
  <r>
    <d v="2025-08-02T00:00:00"/>
    <x v="2"/>
    <x v="0"/>
    <n v="10452.75"/>
    <n v="142"/>
    <n v="37"/>
    <n v="157667.22"/>
  </r>
  <r>
    <d v="2025-11-08T00:00:00"/>
    <x v="2"/>
    <x v="0"/>
    <n v="3637.84"/>
    <n v="50"/>
    <n v="3"/>
    <n v="7957.95"/>
  </r>
  <r>
    <d v="2025-12-30T00:00:00"/>
    <x v="1"/>
    <x v="2"/>
    <n v="14524.49"/>
    <n v="168"/>
    <n v="1"/>
    <n v="2229.46"/>
  </r>
  <r>
    <d v="2025-12-28T00:00:00"/>
    <x v="2"/>
    <x v="3"/>
    <n v="10529.82"/>
    <n v="80"/>
    <n v="32"/>
    <n v="88549.759999999995"/>
  </r>
  <r>
    <d v="2025-09-26T00:00:00"/>
    <x v="4"/>
    <x v="1"/>
    <n v="12768.84"/>
    <n v="116"/>
    <n v="32"/>
    <n v="119036.49"/>
  </r>
  <r>
    <d v="2025-04-23T00:00:00"/>
    <x v="0"/>
    <x v="1"/>
    <n v="14181.97"/>
    <n v="164"/>
    <n v="35"/>
    <n v="105637.75999999999"/>
  </r>
  <r>
    <d v="2025-09-01T00:00:00"/>
    <x v="1"/>
    <x v="3"/>
    <n v="2037.01"/>
    <n v="84"/>
    <n v="4"/>
    <n v="7415.27"/>
  </r>
  <r>
    <d v="2025-10-23T00:00:00"/>
    <x v="2"/>
    <x v="3"/>
    <n v="9188.4599999999991"/>
    <n v="249"/>
    <n v="73"/>
    <n v="125195.1"/>
  </r>
  <r>
    <d v="2025-06-22T00:00:00"/>
    <x v="1"/>
    <x v="2"/>
    <n v="8359.26"/>
    <n v="102"/>
    <n v="28"/>
    <n v="162318.35"/>
  </r>
  <r>
    <d v="2025-07-15T00:00:00"/>
    <x v="0"/>
    <x v="4"/>
    <n v="3111.53"/>
    <n v="189"/>
    <n v="53"/>
    <n v="61899.41"/>
  </r>
  <r>
    <d v="2025-09-20T00:00:00"/>
    <x v="4"/>
    <x v="0"/>
    <n v="3121.06"/>
    <n v="148"/>
    <n v="14"/>
    <n v="42128.67"/>
  </r>
  <r>
    <d v="2025-12-23T00:00:00"/>
    <x v="0"/>
    <x v="4"/>
    <n v="12098.11"/>
    <n v="59"/>
    <n v="4"/>
    <n v="9638.76"/>
  </r>
  <r>
    <d v="2025-04-25T00:00:00"/>
    <x v="4"/>
    <x v="4"/>
    <n v="2831.88"/>
    <n v="173"/>
    <n v="20"/>
    <n v="32208.97"/>
  </r>
  <r>
    <d v="2025-10-10T00:00:00"/>
    <x v="2"/>
    <x v="2"/>
    <n v="7794.99"/>
    <n v="95"/>
    <n v="10"/>
    <n v="49774.11"/>
  </r>
  <r>
    <d v="2025-05-01T00:00:00"/>
    <x v="1"/>
    <x v="3"/>
    <n v="7076.51"/>
    <n v="51"/>
    <n v="14"/>
    <n v="43234.17"/>
  </r>
  <r>
    <d v="2025-08-26T00:00:00"/>
    <x v="0"/>
    <x v="2"/>
    <n v="8898.02"/>
    <n v="223"/>
    <n v="8"/>
    <n v="33942.51"/>
  </r>
  <r>
    <d v="2025-03-13T00:00:00"/>
    <x v="3"/>
    <x v="2"/>
    <n v="7490.08"/>
    <n v="117"/>
    <n v="31"/>
    <n v="60836.84"/>
  </r>
  <r>
    <d v="2025-08-29T00:00:00"/>
    <x v="3"/>
    <x v="0"/>
    <n v="12188.69"/>
    <n v="220"/>
    <n v="10"/>
    <n v="32072.73"/>
  </r>
  <r>
    <d v="2025-12-01T00:00:00"/>
    <x v="1"/>
    <x v="3"/>
    <n v="9597.17"/>
    <n v="158"/>
    <n v="61"/>
    <n v="301895.21999999997"/>
  </r>
  <r>
    <d v="2025-06-03T00:00:00"/>
    <x v="2"/>
    <x v="0"/>
    <n v="11011.67"/>
    <n v="224"/>
    <n v="55"/>
    <n v="202097.25"/>
  </r>
  <r>
    <d v="2025-09-09T00:00:00"/>
    <x v="3"/>
    <x v="0"/>
    <n v="14220.26"/>
    <n v="82"/>
    <n v="8"/>
    <n v="10642.4"/>
  </r>
  <r>
    <d v="2025-08-09T00:00:00"/>
    <x v="2"/>
    <x v="2"/>
    <n v="7072.33"/>
    <n v="244"/>
    <n v="45"/>
    <n v="221445.85"/>
  </r>
  <r>
    <d v="2025-08-31T00:00:00"/>
    <x v="3"/>
    <x v="4"/>
    <n v="1185.02"/>
    <n v="83"/>
    <n v="27"/>
    <n v="75525.119999999995"/>
  </r>
  <r>
    <d v="2025-11-07T00:00:00"/>
    <x v="3"/>
    <x v="3"/>
    <n v="9677.7900000000009"/>
    <n v="33"/>
    <n v="8"/>
    <n v="41306.65"/>
  </r>
  <r>
    <d v="2025-09-01T00:00:00"/>
    <x v="3"/>
    <x v="1"/>
    <n v="13528.34"/>
    <n v="203"/>
    <n v="50"/>
    <n v="80813.23"/>
  </r>
  <r>
    <d v="2025-11-13T00:00:00"/>
    <x v="1"/>
    <x v="3"/>
    <n v="1889.4"/>
    <n v="84"/>
    <n v="17"/>
    <n v="46129.25"/>
  </r>
  <r>
    <d v="2025-04-03T00:00:00"/>
    <x v="4"/>
    <x v="0"/>
    <n v="11783.91"/>
    <n v="116"/>
    <n v="36"/>
    <n v="105811.26"/>
  </r>
  <r>
    <d v="2025-06-23T00:00:00"/>
    <x v="0"/>
    <x v="2"/>
    <n v="4618.28"/>
    <n v="78"/>
    <n v="25"/>
    <n v="25517.72"/>
  </r>
  <r>
    <d v="2025-09-23T00:00:00"/>
    <x v="2"/>
    <x v="1"/>
    <n v="8542.42"/>
    <n v="50"/>
    <n v="9"/>
    <n v="35621.29"/>
  </r>
  <r>
    <d v="2025-08-17T00:00:00"/>
    <x v="3"/>
    <x v="1"/>
    <n v="7881.49"/>
    <n v="143"/>
    <n v="12"/>
    <n v="53876.21"/>
  </r>
  <r>
    <d v="2025-06-12T00:00:00"/>
    <x v="4"/>
    <x v="0"/>
    <n v="12016.32"/>
    <n v="230"/>
    <n v="44"/>
    <n v="261683.59"/>
  </r>
  <r>
    <d v="2025-11-12T00:00:00"/>
    <x v="3"/>
    <x v="2"/>
    <n v="6722.52"/>
    <n v="109"/>
    <n v="22"/>
    <n v="36563.279999999999"/>
  </r>
  <r>
    <d v="2025-10-13T00:00:00"/>
    <x v="2"/>
    <x v="3"/>
    <n v="8843.61"/>
    <n v="235"/>
    <n v="33"/>
    <n v="168499.19"/>
  </r>
  <r>
    <d v="2025-05-26T00:00:00"/>
    <x v="4"/>
    <x v="1"/>
    <n v="13606.49"/>
    <n v="127"/>
    <n v="40"/>
    <n v="145884.01999999999"/>
  </r>
  <r>
    <d v="2025-09-25T00:00:00"/>
    <x v="1"/>
    <x v="4"/>
    <n v="14959.53"/>
    <n v="42"/>
    <n v="16"/>
    <n v="62679.29"/>
  </r>
  <r>
    <d v="2025-11-11T00:00:00"/>
    <x v="3"/>
    <x v="0"/>
    <n v="3676.02"/>
    <n v="54"/>
    <n v="17"/>
    <n v="65012.01"/>
  </r>
  <r>
    <d v="2025-07-14T00:00:00"/>
    <x v="1"/>
    <x v="4"/>
    <n v="14101.38"/>
    <n v="92"/>
    <n v="5"/>
    <n v="9256.57"/>
  </r>
  <r>
    <d v="2025-11-10T00:00:00"/>
    <x v="3"/>
    <x v="0"/>
    <n v="14514.46"/>
    <n v="83"/>
    <n v="24"/>
    <n v="82156.350000000006"/>
  </r>
  <r>
    <d v="2025-08-17T00:00:00"/>
    <x v="1"/>
    <x v="4"/>
    <n v="5022.3"/>
    <n v="216"/>
    <n v="23"/>
    <n v="91587.36"/>
  </r>
  <r>
    <d v="2025-03-16T00:00:00"/>
    <x v="3"/>
    <x v="0"/>
    <n v="14820.16"/>
    <n v="201"/>
    <n v="55"/>
    <n v="158569.07999999999"/>
  </r>
  <r>
    <d v="2025-05-20T00:00:00"/>
    <x v="4"/>
    <x v="4"/>
    <n v="9813.93"/>
    <n v="136"/>
    <n v="12"/>
    <n v="66373.399999999994"/>
  </r>
  <r>
    <d v="2025-01-02T00:00:00"/>
    <x v="0"/>
    <x v="1"/>
    <n v="2741.03"/>
    <n v="220"/>
    <n v="27"/>
    <n v="69730.009999999995"/>
  </r>
  <r>
    <d v="2025-09-08T00:00:00"/>
    <x v="1"/>
    <x v="4"/>
    <n v="13163.77"/>
    <n v="20"/>
    <n v="1"/>
    <n v="1540.51"/>
  </r>
  <r>
    <d v="2025-07-01T00:00:00"/>
    <x v="2"/>
    <x v="0"/>
    <n v="11048.48"/>
    <n v="225"/>
    <n v="14"/>
    <n v="58336.07"/>
  </r>
  <r>
    <d v="2025-09-07T00:00:00"/>
    <x v="0"/>
    <x v="4"/>
    <n v="9175.9"/>
    <n v="193"/>
    <n v="52"/>
    <n v="271928.12"/>
  </r>
  <r>
    <d v="2025-06-06T00:00:00"/>
    <x v="4"/>
    <x v="3"/>
    <n v="13463.59"/>
    <n v="229"/>
    <n v="84"/>
    <n v="447633.62"/>
  </r>
  <r>
    <d v="2025-01-12T00:00:00"/>
    <x v="3"/>
    <x v="3"/>
    <n v="12382.64"/>
    <n v="128"/>
    <n v="32"/>
    <n v="186717.47"/>
  </r>
  <r>
    <d v="2025-02-13T00:00:00"/>
    <x v="1"/>
    <x v="4"/>
    <n v="14852.61"/>
    <n v="234"/>
    <n v="39"/>
    <n v="215671.48"/>
  </r>
  <r>
    <d v="2025-10-27T00:00:00"/>
    <x v="4"/>
    <x v="0"/>
    <n v="14886.19"/>
    <n v="86"/>
    <n v="14"/>
    <n v="57627.44"/>
  </r>
  <r>
    <d v="2025-10-31T00:00:00"/>
    <x v="2"/>
    <x v="4"/>
    <n v="3378.74"/>
    <n v="40"/>
    <n v="16"/>
    <n v="76825.47"/>
  </r>
  <r>
    <d v="2025-12-04T00:00:00"/>
    <x v="0"/>
    <x v="1"/>
    <n v="5995.12"/>
    <n v="130"/>
    <n v="29"/>
    <n v="99755.38"/>
  </r>
  <r>
    <d v="2025-01-05T00:00:00"/>
    <x v="0"/>
    <x v="1"/>
    <n v="6265.88"/>
    <n v="167"/>
    <n v="53"/>
    <n v="279184.93"/>
  </r>
  <r>
    <d v="2025-01-11T00:00:00"/>
    <x v="2"/>
    <x v="1"/>
    <n v="13643.22"/>
    <n v="191"/>
    <n v="31"/>
    <n v="179960.25"/>
  </r>
  <r>
    <d v="2025-01-15T00:00:00"/>
    <x v="2"/>
    <x v="3"/>
    <n v="4872.0600000000004"/>
    <n v="93"/>
    <n v="4"/>
    <n v="17629.45"/>
  </r>
  <r>
    <d v="2025-11-21T00:00:00"/>
    <x v="2"/>
    <x v="4"/>
    <n v="14645.35"/>
    <n v="192"/>
    <n v="76"/>
    <n v="159028.69"/>
  </r>
  <r>
    <d v="2025-11-21T00:00:00"/>
    <x v="3"/>
    <x v="4"/>
    <n v="7980.63"/>
    <n v="126"/>
    <n v="31"/>
    <n v="44048.54"/>
  </r>
  <r>
    <d v="2025-09-22T00:00:00"/>
    <x v="0"/>
    <x v="3"/>
    <n v="8190.59"/>
    <n v="135"/>
    <n v="10"/>
    <n v="58116.14"/>
  </r>
  <r>
    <d v="2025-11-19T00:00:00"/>
    <x v="2"/>
    <x v="3"/>
    <n v="5340.21"/>
    <n v="156"/>
    <n v="46"/>
    <n v="240142.62"/>
  </r>
  <r>
    <d v="2025-10-28T00:00:00"/>
    <x v="2"/>
    <x v="3"/>
    <n v="8680.2900000000009"/>
    <n v="45"/>
    <n v="13"/>
    <n v="32794.300000000003"/>
  </r>
  <r>
    <d v="2025-05-07T00:00:00"/>
    <x v="0"/>
    <x v="4"/>
    <n v="13714.74"/>
    <n v="164"/>
    <n v="9"/>
    <n v="37904.57"/>
  </r>
  <r>
    <d v="2025-11-11T00:00:00"/>
    <x v="3"/>
    <x v="2"/>
    <n v="1753.49"/>
    <n v="68"/>
    <n v="26"/>
    <n v="76586.14"/>
  </r>
  <r>
    <d v="2025-10-10T00:00:00"/>
    <x v="0"/>
    <x v="4"/>
    <n v="10940.66"/>
    <n v="112"/>
    <n v="16"/>
    <n v="25962.95"/>
  </r>
  <r>
    <d v="2025-04-21T00:00:00"/>
    <x v="4"/>
    <x v="3"/>
    <n v="6861.19"/>
    <n v="123"/>
    <n v="22"/>
    <n v="89188.83"/>
  </r>
  <r>
    <d v="2025-08-11T00:00:00"/>
    <x v="4"/>
    <x v="1"/>
    <n v="9004.9"/>
    <n v="67"/>
    <n v="8"/>
    <n v="14156.14"/>
  </r>
  <r>
    <d v="2025-12-22T00:00:00"/>
    <x v="0"/>
    <x v="4"/>
    <n v="2108.7399999999998"/>
    <n v="40"/>
    <n v="13"/>
    <n v="19664.07"/>
  </r>
  <r>
    <d v="2025-07-17T00:00:00"/>
    <x v="4"/>
    <x v="4"/>
    <n v="12958.97"/>
    <n v="112"/>
    <n v="7"/>
    <n v="9363.41"/>
  </r>
  <r>
    <d v="2025-04-10T00:00:00"/>
    <x v="2"/>
    <x v="4"/>
    <n v="5757.48"/>
    <n v="68"/>
    <n v="9"/>
    <n v="10813.66"/>
  </r>
  <r>
    <d v="2025-09-12T00:00:00"/>
    <x v="3"/>
    <x v="4"/>
    <n v="4667.24"/>
    <n v="61"/>
    <n v="2"/>
    <n v="7567.95"/>
  </r>
  <r>
    <d v="2025-06-14T00:00:00"/>
    <x v="4"/>
    <x v="3"/>
    <n v="9378.31"/>
    <n v="208"/>
    <n v="10"/>
    <n v="44676.08"/>
  </r>
  <r>
    <d v="2025-01-19T00:00:00"/>
    <x v="4"/>
    <x v="2"/>
    <n v="8445.2900000000009"/>
    <n v="194"/>
    <n v="55"/>
    <n v="205189.89"/>
  </r>
  <r>
    <d v="2025-01-03T00:00:00"/>
    <x v="3"/>
    <x v="2"/>
    <n v="6193.03"/>
    <n v="137"/>
    <n v="49"/>
    <n v="147573.24"/>
  </r>
  <r>
    <d v="2025-11-07T00:00:00"/>
    <x v="1"/>
    <x v="2"/>
    <n v="5540.71"/>
    <n v="233"/>
    <n v="27"/>
    <n v="86284.94"/>
  </r>
  <r>
    <d v="2025-02-09T00:00:00"/>
    <x v="2"/>
    <x v="1"/>
    <n v="9968.2999999999993"/>
    <n v="188"/>
    <n v="24"/>
    <n v="142719.03"/>
  </r>
  <r>
    <d v="2025-05-26T00:00:00"/>
    <x v="0"/>
    <x v="3"/>
    <n v="2999.04"/>
    <n v="236"/>
    <n v="7"/>
    <n v="33875.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5-12-04T00:00:00"/>
    <x v="0"/>
    <s v="Retargeting Campaign"/>
    <n v="7360.05"/>
    <n v="165"/>
    <n v="43"/>
    <n v="167838.75"/>
    <n v="26.060600000000001"/>
    <n v="2180.4023070495446"/>
    <s v="Positive"/>
  </r>
  <r>
    <d v="2025-05-22T00:00:00"/>
    <x v="1"/>
    <s v="Brand Awareness"/>
    <n v="7368.04"/>
    <n v="209"/>
    <n v="15"/>
    <n v="62582.54"/>
    <n v="7.1769999999999996"/>
    <n v="749.3783964256437"/>
    <s v="Positive"/>
  </r>
  <r>
    <d v="2025-08-24T00:00:00"/>
    <x v="1"/>
    <s v="New Product Launch"/>
    <n v="7235.8"/>
    <n v="119"/>
    <n v="3"/>
    <n v="4509.8599999999997"/>
    <n v="2.5209999999999999"/>
    <n v="-37.672959451615583"/>
    <s v="Negative"/>
  </r>
  <r>
    <d v="2025-05-18T00:00:00"/>
    <x v="2"/>
    <s v="Lead Generation"/>
    <n v="12798.4"/>
    <n v="57"/>
    <n v="4"/>
    <n v="17070.38"/>
    <n v="7.0175000000000001"/>
    <n v="33.379016127015888"/>
    <s v="Positive"/>
  </r>
  <r>
    <d v="2025-05-22T00:00:00"/>
    <x v="0"/>
    <s v="Retargeting Campaign"/>
    <n v="4915.18"/>
    <n v="147"/>
    <n v="45"/>
    <n v="189352.53"/>
    <n v="30.612200000000001"/>
    <n v="3752.4027604278986"/>
    <s v="Positive"/>
  </r>
  <r>
    <d v="2025-06-12T00:00:00"/>
    <x v="2"/>
    <s v="New Product Launch"/>
    <n v="8538.7800000000007"/>
    <n v="130"/>
    <n v="22"/>
    <n v="23113.9"/>
    <n v="16.923100000000002"/>
    <n v="170.69323720718884"/>
    <s v="Positive"/>
  </r>
  <r>
    <d v="2025-09-03T00:00:00"/>
    <x v="2"/>
    <s v="Retargeting Campaign"/>
    <n v="9245.33"/>
    <n v="210"/>
    <n v="4"/>
    <n v="8592.58"/>
    <n v="1.9048"/>
    <n v="-7.0603212648980618"/>
    <s v="Negative"/>
  </r>
  <r>
    <d v="2025-12-22T00:00:00"/>
    <x v="3"/>
    <s v="New Product Launch"/>
    <n v="10679.92"/>
    <n v="83"/>
    <n v="6"/>
    <n v="18958.7"/>
    <n v="7.2289000000000003"/>
    <n v="77.517247320204646"/>
    <s v="Positive"/>
  </r>
  <r>
    <d v="2025-03-10T00:00:00"/>
    <x v="3"/>
    <s v="New Product Launch"/>
    <n v="4814.6000000000004"/>
    <n v="154"/>
    <n v="14"/>
    <n v="33526.81"/>
    <n v="9.0908999999999995"/>
    <n v="596.35712208698544"/>
    <s v="Positive"/>
  </r>
  <r>
    <d v="2025-06-29T00:00:00"/>
    <x v="1"/>
    <s v="Brand Awareness"/>
    <n v="3918.93"/>
    <n v="199"/>
    <n v="74"/>
    <n v="198353.93"/>
    <n v="37.185899999999997"/>
    <n v="4961.4307987129141"/>
    <s v="Positive"/>
  </r>
  <r>
    <d v="2025-12-13T00:00:00"/>
    <x v="4"/>
    <s v="Retargeting Campaign"/>
    <n v="8874.23"/>
    <n v="88"/>
    <n v="24"/>
    <n v="35160.620000000003"/>
    <n v="27.2727"/>
    <n v="296.21037543538995"/>
    <s v="Positive"/>
  </r>
  <r>
    <d v="2025-08-25T00:00:00"/>
    <x v="2"/>
    <s v="New Product Launch"/>
    <n v="14140.08"/>
    <n v="26"/>
    <n v="2"/>
    <n v="4448.71"/>
    <n v="7.6923000000000004"/>
    <n v="-68.538296813030755"/>
    <s v="Negative"/>
  </r>
  <r>
    <d v="2025-10-02T00:00:00"/>
    <x v="4"/>
    <s v="Lead Generation"/>
    <n v="1437.55"/>
    <n v="199"/>
    <n v="74"/>
    <n v="204297.89"/>
    <n v="37.185899999999997"/>
    <n v="14111.532816249872"/>
    <s v="Positive"/>
  </r>
  <r>
    <d v="2025-11-06T00:00:00"/>
    <x v="1"/>
    <s v="Retargeting Campaign"/>
    <n v="13075.87"/>
    <n v="218"/>
    <n v="25"/>
    <n v="115009.98"/>
    <n v="11.4679"/>
    <n v="779.55891271479447"/>
    <s v="Positive"/>
  </r>
  <r>
    <d v="2025-08-14T00:00:00"/>
    <x v="3"/>
    <s v="Brand Awareness"/>
    <n v="10604.99"/>
    <n v="90"/>
    <n v="24"/>
    <n v="125649.56"/>
    <n v="26.666699999999999"/>
    <n v="1084.81545008529"/>
    <s v="Positive"/>
  </r>
  <r>
    <d v="2025-02-25T00:00:00"/>
    <x v="3"/>
    <s v="Retargeting Campaign"/>
    <n v="4789.6099999999997"/>
    <n v="97"/>
    <n v="28"/>
    <n v="37840.11"/>
    <n v="28.866"/>
    <n v="690.04574485187732"/>
    <s v="Positive"/>
  </r>
  <r>
    <d v="2025-09-28T00:00:00"/>
    <x v="4"/>
    <s v="New Product Launch"/>
    <n v="3225.55"/>
    <n v="64"/>
    <n v="19"/>
    <n v="23750.3"/>
    <n v="29.6875"/>
    <n v="636.31783726806282"/>
    <s v="Positive"/>
  </r>
  <r>
    <d v="2025-02-02T00:00:00"/>
    <x v="0"/>
    <s v="Retargeting Campaign"/>
    <n v="2862.7"/>
    <n v="213"/>
    <n v="55"/>
    <n v="64536.9"/>
    <n v="25.8216"/>
    <n v="2154.406679009327"/>
    <s v="Positive"/>
  </r>
  <r>
    <d v="2025-05-22T00:00:00"/>
    <x v="3"/>
    <s v="Lead Generation"/>
    <n v="10358.5"/>
    <n v="241"/>
    <n v="68"/>
    <n v="179095.34"/>
    <n v="28.215800000000002"/>
    <n v="1628.9698315393157"/>
    <s v="Positive"/>
  </r>
  <r>
    <d v="2025-01-30T00:00:00"/>
    <x v="0"/>
    <s v="Festival Offer"/>
    <n v="11353.79"/>
    <n v="48"/>
    <n v="19"/>
    <n v="105615.47"/>
    <n v="39.583300000000001"/>
    <n v="830.2221548927713"/>
    <s v="Positive"/>
  </r>
  <r>
    <d v="2025-04-14T00:00:00"/>
    <x v="0"/>
    <s v="Festival Offer"/>
    <n v="12224.2"/>
    <n v="171"/>
    <n v="3"/>
    <n v="5714.86"/>
    <n v="1.7544"/>
    <n v="-53.249619607009059"/>
    <s v="Negative"/>
  </r>
  <r>
    <d v="2025-06-09T00:00:00"/>
    <x v="1"/>
    <s v="Festival Offer"/>
    <n v="4893.91"/>
    <n v="220"/>
    <n v="21"/>
    <n v="86663.19"/>
    <n v="9.5455000000000005"/>
    <n v="1670.8374285591685"/>
    <s v="Positive"/>
  </r>
  <r>
    <d v="2025-07-26T00:00:00"/>
    <x v="3"/>
    <s v="Festival Offer"/>
    <n v="14271.89"/>
    <n v="202"/>
    <n v="12"/>
    <n v="41944.95"/>
    <n v="5.9405999999999999"/>
    <n v="193.89905611660402"/>
    <s v="Positive"/>
  </r>
  <r>
    <d v="2025-06-14T00:00:00"/>
    <x v="3"/>
    <s v="Retargeting Campaign"/>
    <n v="6648.73"/>
    <n v="211"/>
    <n v="66"/>
    <n v="244089.28"/>
    <n v="31.279599999999999"/>
    <n v="3571.2166082845897"/>
    <s v="Positive"/>
  </r>
  <r>
    <d v="2025-06-29T00:00:00"/>
    <x v="0"/>
    <s v="Lead Generation"/>
    <n v="10652.75"/>
    <n v="208"/>
    <n v="45"/>
    <n v="238518.05"/>
    <n v="21.634599999999999"/>
    <n v="2139.027950529206"/>
    <s v="Positive"/>
  </r>
  <r>
    <d v="2025-06-15T00:00:00"/>
    <x v="0"/>
    <s v="Lead Generation"/>
    <n v="12257.16"/>
    <n v="241"/>
    <n v="89"/>
    <n v="367325.59"/>
    <n v="36.929499999999997"/>
    <n v="2896.824631480702"/>
    <s v="Positive"/>
  </r>
  <r>
    <d v="2025-12-31T00:00:00"/>
    <x v="3"/>
    <s v="Retargeting Campaign"/>
    <n v="8467.65"/>
    <n v="147"/>
    <n v="50"/>
    <n v="152261.74"/>
    <n v="34.013599999999997"/>
    <n v="1698.158166669619"/>
    <s v="Positive"/>
  </r>
  <r>
    <d v="2025-02-24T00:00:00"/>
    <x v="4"/>
    <s v="Lead Generation"/>
    <n v="14171.39"/>
    <n v="26"/>
    <n v="1"/>
    <n v="5063.58"/>
    <n v="3.8462000000000001"/>
    <n v="-64.268995490209505"/>
    <s v="Negative"/>
  </r>
  <r>
    <d v="2025-03-12T00:00:00"/>
    <x v="4"/>
    <s v="Retargeting Campaign"/>
    <n v="12234.5"/>
    <n v="71"/>
    <n v="23"/>
    <n v="55648.68"/>
    <n v="32.394399999999997"/>
    <n v="354.8504638522212"/>
    <s v="Positive"/>
  </r>
  <r>
    <d v="2025-10-17T00:00:00"/>
    <x v="1"/>
    <s v="Festival Offer"/>
    <n v="14720.39"/>
    <n v="59"/>
    <n v="23"/>
    <n v="29371.55"/>
    <n v="38.9831"/>
    <n v="99.529699960395078"/>
    <s v="Positive"/>
  </r>
  <r>
    <d v="2025-06-14T00:00:00"/>
    <x v="1"/>
    <s v="Festival Offer"/>
    <n v="3300.33"/>
    <n v="105"/>
    <n v="34"/>
    <n v="174264.11"/>
    <n v="32.381"/>
    <n v="5180.2025858020261"/>
    <s v="Positive"/>
  </r>
  <r>
    <d v="2025-05-11T00:00:00"/>
    <x v="3"/>
    <s v="Lead Generation"/>
    <n v="4418.6899999999996"/>
    <n v="181"/>
    <n v="14"/>
    <n v="50595.69"/>
    <n v="7.7347999999999999"/>
    <n v="1045.0382353140863"/>
    <s v="Positive"/>
  </r>
  <r>
    <d v="2025-11-12T00:00:00"/>
    <x v="3"/>
    <s v="Brand Awareness"/>
    <n v="11541.73"/>
    <n v="51"/>
    <n v="7"/>
    <n v="37682.129999999997"/>
    <n v="13.7255"/>
    <n v="226.48597740546691"/>
    <s v="Positive"/>
  </r>
  <r>
    <d v="2025-04-26T00:00:00"/>
    <x v="3"/>
    <s v="Festival Offer"/>
    <n v="9609.27"/>
    <n v="146"/>
    <n v="44"/>
    <n v="106555.29"/>
    <n v="30.137"/>
    <n v="1008.8801750809374"/>
    <s v="Positive"/>
  </r>
  <r>
    <d v="2025-04-16T00:00:00"/>
    <x v="2"/>
    <s v="Festival Offer"/>
    <n v="6140.26"/>
    <n v="246"/>
    <n v="77"/>
    <n v="417474.84"/>
    <n v="31.300799999999999"/>
    <n v="6698.976590567825"/>
    <s v="Positive"/>
  </r>
  <r>
    <d v="2025-01-30T00:00:00"/>
    <x v="4"/>
    <s v="New Product Launch"/>
    <n v="4475.26"/>
    <n v="41"/>
    <n v="13"/>
    <n v="41486.83"/>
    <n v="31.7073"/>
    <n v="827.02613926341701"/>
    <s v="Positive"/>
  </r>
  <r>
    <d v="2025-11-15T00:00:00"/>
    <x v="0"/>
    <s v="Retargeting Campaign"/>
    <n v="4092.57"/>
    <n v="45"/>
    <n v="10"/>
    <n v="32629.9"/>
    <n v="22.222200000000001"/>
    <n v="697.29607557109591"/>
    <s v="Positive"/>
  </r>
  <r>
    <d v="2025-01-26T00:00:00"/>
    <x v="1"/>
    <s v="New Product Launch"/>
    <n v="14980.87"/>
    <n v="43"/>
    <n v="17"/>
    <n v="101553.33"/>
    <n v="39.5349"/>
    <n v="577.88673154496371"/>
    <s v="Positive"/>
  </r>
  <r>
    <d v="2025-05-23T00:00:00"/>
    <x v="3"/>
    <s v="Retargeting Campaign"/>
    <n v="2106.83"/>
    <n v="129"/>
    <n v="48"/>
    <n v="64420.18"/>
    <n v="37.209299999999999"/>
    <n v="2957.6828695243566"/>
    <s v="Positive"/>
  </r>
  <r>
    <d v="2025-10-05T00:00:00"/>
    <x v="1"/>
    <s v="Festival Offer"/>
    <n v="4759.95"/>
    <n v="249"/>
    <n v="64"/>
    <n v="318959.92"/>
    <n v="25.7028"/>
    <n v="6600.909043162218"/>
    <s v="Positive"/>
  </r>
  <r>
    <d v="2025-04-08T00:00:00"/>
    <x v="4"/>
    <s v="Festival Offer"/>
    <n v="5731.59"/>
    <n v="235"/>
    <n v="35"/>
    <n v="103014.54"/>
    <n v="14.893599999999999"/>
    <n v="1697.311740721161"/>
    <s v="Positive"/>
  </r>
  <r>
    <d v="2025-12-09T00:00:00"/>
    <x v="0"/>
    <s v="Retargeting Campaign"/>
    <n v="2989.28"/>
    <n v="137"/>
    <n v="54"/>
    <n v="126960.71"/>
    <n v="39.4161"/>
    <n v="4147.2003291762558"/>
    <s v="Positive"/>
  </r>
  <r>
    <d v="2025-05-04T00:00:00"/>
    <x v="2"/>
    <s v="New Product Launch"/>
    <n v="12467.05"/>
    <n v="115"/>
    <n v="18"/>
    <n v="32365.78"/>
    <n v="15.652200000000001"/>
    <n v="159.61057347167133"/>
    <s v="Positive"/>
  </r>
  <r>
    <d v="2025-05-16T00:00:00"/>
    <x v="0"/>
    <s v="Lead Generation"/>
    <n v="12785.27"/>
    <n v="167"/>
    <n v="56"/>
    <n v="281940.27"/>
    <n v="33.532899999999998"/>
    <n v="2105.1960576507186"/>
    <s v="Positive"/>
  </r>
  <r>
    <d v="2025-02-05T00:00:00"/>
    <x v="1"/>
    <s v="New Product Launch"/>
    <n v="3805.91"/>
    <n v="154"/>
    <n v="44"/>
    <n v="238564.53"/>
    <n v="28.571400000000001"/>
    <n v="6168.2651455236719"/>
    <s v="Positive"/>
  </r>
  <r>
    <d v="2025-02-07T00:00:00"/>
    <x v="3"/>
    <s v="Lead Generation"/>
    <n v="2392.7600000000002"/>
    <n v="239"/>
    <n v="54"/>
    <n v="270529.69"/>
    <n v="22.594100000000001"/>
    <n v="11206.177385111752"/>
    <s v="Positive"/>
  </r>
  <r>
    <d v="2025-10-31T00:00:00"/>
    <x v="0"/>
    <s v="New Product Launch"/>
    <n v="3806.87"/>
    <n v="30"/>
    <n v="10"/>
    <n v="39798.36"/>
    <n v="33.333300000000001"/>
    <n v="945.43522631453141"/>
    <s v="Positive"/>
  </r>
  <r>
    <d v="2025-08-02T00:00:00"/>
    <x v="1"/>
    <s v="New Product Launch"/>
    <n v="13872.37"/>
    <n v="205"/>
    <n v="41"/>
    <n v="103869.01"/>
    <n v="20"/>
    <n v="648.74740221029276"/>
    <s v="Positive"/>
  </r>
  <r>
    <d v="2025-12-22T00:00:00"/>
    <x v="2"/>
    <s v="Retargeting Campaign"/>
    <n v="8529.1"/>
    <n v="182"/>
    <n v="35"/>
    <n v="77627.03"/>
    <n v="19.230799999999999"/>
    <n v="810.14327420243626"/>
    <s v="Positive"/>
  </r>
  <r>
    <d v="2025-02-26T00:00:00"/>
    <x v="1"/>
    <s v="Festival Offer"/>
    <n v="14607.7"/>
    <n v="62"/>
    <n v="20"/>
    <n v="78105.91"/>
    <n v="32.258099999999999"/>
    <n v="434.68999226435369"/>
    <s v="Positive"/>
  </r>
  <r>
    <d v="2025-04-13T00:00:00"/>
    <x v="2"/>
    <s v="Brand Awareness"/>
    <n v="4612.34"/>
    <n v="54"/>
    <n v="4"/>
    <n v="17475.89"/>
    <n v="7.4074"/>
    <n v="278.89422722522619"/>
    <s v="Positive"/>
  </r>
  <r>
    <d v="2025-05-11T00:00:00"/>
    <x v="3"/>
    <s v="New Product Launch"/>
    <n v="14346.22"/>
    <n v="111"/>
    <n v="25"/>
    <n v="62945.32"/>
    <n v="22.522500000000001"/>
    <n v="338.75892046824879"/>
    <s v="Positive"/>
  </r>
  <r>
    <d v="2025-05-20T00:00:00"/>
    <x v="1"/>
    <s v="Festival Offer"/>
    <n v="4208.9799999999996"/>
    <n v="102"/>
    <n v="12"/>
    <n v="32657.65"/>
    <n v="11.764699999999999"/>
    <n v="675.90413829478882"/>
    <s v="Positive"/>
  </r>
  <r>
    <d v="2025-07-16T00:00:00"/>
    <x v="0"/>
    <s v="Lead Generation"/>
    <n v="1007.24"/>
    <n v="243"/>
    <n v="24"/>
    <n v="100600.94"/>
    <n v="9.8765000000000001"/>
    <n v="9887.7824550256137"/>
    <s v="Positive"/>
  </r>
  <r>
    <d v="2025-11-03T00:00:00"/>
    <x v="3"/>
    <s v="Lead Generation"/>
    <n v="5718.41"/>
    <n v="203"/>
    <n v="66"/>
    <n v="268033.08"/>
    <n v="32.512300000000003"/>
    <n v="4587.1959163473766"/>
    <s v="Positive"/>
  </r>
  <r>
    <d v="2025-11-01T00:00:00"/>
    <x v="4"/>
    <s v="Lead Generation"/>
    <n v="2818.19"/>
    <n v="216"/>
    <n v="78"/>
    <n v="246087.12"/>
    <n v="36.1111"/>
    <n v="8632.0982616502079"/>
    <s v="Positive"/>
  </r>
  <r>
    <d v="2025-03-22T00:00:00"/>
    <x v="2"/>
    <s v="New Product Launch"/>
    <n v="1076.6099999999999"/>
    <n v="86"/>
    <n v="23"/>
    <n v="36865.300000000003"/>
    <n v="26.744199999999999"/>
    <n v="3324.2018929788878"/>
    <s v="Positive"/>
  </r>
  <r>
    <d v="2025-06-07T00:00:00"/>
    <x v="1"/>
    <s v="Brand Awareness"/>
    <n v="11471.54"/>
    <n v="166"/>
    <n v="49"/>
    <n v="69919.179999999993"/>
    <n v="29.5181"/>
    <n v="509.50125266529153"/>
    <s v="Positive"/>
  </r>
  <r>
    <d v="2025-08-10T00:00:00"/>
    <x v="3"/>
    <s v="Brand Awareness"/>
    <n v="12493.21"/>
    <n v="28"/>
    <n v="9"/>
    <n v="40563.980000000003"/>
    <n v="32.142899999999997"/>
    <n v="224.68821063601752"/>
    <s v="Positive"/>
  </r>
  <r>
    <d v="2025-05-09T00:00:00"/>
    <x v="1"/>
    <s v="Festival Offer"/>
    <n v="3400.45"/>
    <n v="225"/>
    <n v="76"/>
    <n v="181952.33"/>
    <n v="33.777799999999999"/>
    <n v="5250.8309194371332"/>
    <s v="Positive"/>
  </r>
  <r>
    <d v="2025-06-27T00:00:00"/>
    <x v="2"/>
    <s v="Brand Awareness"/>
    <n v="14615.53"/>
    <n v="97"/>
    <n v="9"/>
    <n v="27059.89"/>
    <n v="9.2783999999999995"/>
    <n v="85.144774086194602"/>
    <s v="Positive"/>
  </r>
  <r>
    <d v="2025-07-01T00:00:00"/>
    <x v="1"/>
    <s v="Festival Offer"/>
    <n v="3369.3"/>
    <n v="140"/>
    <n v="56"/>
    <n v="183716.72"/>
    <n v="40"/>
    <n v="5352.667319621286"/>
    <s v="Positive"/>
  </r>
  <r>
    <d v="2025-10-23T00:00:00"/>
    <x v="4"/>
    <s v="New Product Launch"/>
    <n v="3255.93"/>
    <n v="213"/>
    <n v="40"/>
    <n v="66271.740000000005"/>
    <n v="18.779299999999999"/>
    <n v="1935.4166090794338"/>
    <s v="Positive"/>
  </r>
  <r>
    <d v="2025-01-28T00:00:00"/>
    <x v="3"/>
    <s v="Brand Awareness"/>
    <n v="4398.43"/>
    <n v="199"/>
    <n v="26"/>
    <n v="71387.06"/>
    <n v="13.065300000000001"/>
    <n v="1523.0123021168918"/>
    <s v="Positive"/>
  </r>
  <r>
    <d v="2025-03-28T00:00:00"/>
    <x v="3"/>
    <s v="Retargeting Campaign"/>
    <n v="5368.26"/>
    <n v="139"/>
    <n v="46"/>
    <n v="249991.97"/>
    <n v="33.093499999999999"/>
    <n v="4556.8528722528345"/>
    <s v="Positive"/>
  </r>
  <r>
    <d v="2025-04-25T00:00:00"/>
    <x v="3"/>
    <s v="Lead Generation"/>
    <n v="3913.35"/>
    <n v="237"/>
    <n v="57"/>
    <n v="337759.52"/>
    <n v="24.050599999999999"/>
    <n v="8530.9560862176932"/>
    <s v="Positive"/>
  </r>
  <r>
    <d v="2025-09-10T00:00:00"/>
    <x v="2"/>
    <s v="New Product Launch"/>
    <n v="6019.43"/>
    <n v="81"/>
    <n v="2"/>
    <n v="3827.8"/>
    <n v="2.4691000000000001"/>
    <n v="-36.409261342020756"/>
    <s v="Negative"/>
  </r>
  <r>
    <d v="2025-01-29T00:00:00"/>
    <x v="4"/>
    <s v="Lead Generation"/>
    <n v="5706.63"/>
    <n v="38"/>
    <n v="9"/>
    <n v="48553.26"/>
    <n v="23.684200000000001"/>
    <n v="750.82193869236312"/>
    <s v="Positive"/>
  </r>
  <r>
    <d v="2025-09-05T00:00:00"/>
    <x v="4"/>
    <s v="Festival Offer"/>
    <n v="5275.54"/>
    <n v="177"/>
    <n v="33"/>
    <n v="159486.85"/>
    <n v="18.644100000000002"/>
    <n v="2923.1379157394313"/>
    <s v="Positive"/>
  </r>
  <r>
    <d v="2025-08-02T00:00:00"/>
    <x v="3"/>
    <s v="Lead Generation"/>
    <n v="5143.6899999999996"/>
    <n v="179"/>
    <n v="62"/>
    <n v="123320.57"/>
    <n v="34.636899999999997"/>
    <n v="2297.5117085205375"/>
    <s v="Positive"/>
  </r>
  <r>
    <d v="2025-04-21T00:00:00"/>
    <x v="3"/>
    <s v="Festival Offer"/>
    <n v="6411.47"/>
    <n v="172"/>
    <n v="55"/>
    <n v="109688.14"/>
    <n v="31.976700000000001"/>
    <n v="1610.8110932438269"/>
    <s v="Positive"/>
  </r>
  <r>
    <d v="2025-10-11T00:00:00"/>
    <x v="4"/>
    <s v="Retargeting Campaign"/>
    <n v="2998.22"/>
    <n v="202"/>
    <n v="56"/>
    <n v="228271.99"/>
    <n v="27.722799999999999"/>
    <n v="7513.5837263442982"/>
    <s v="Positive"/>
  </r>
  <r>
    <d v="2025-07-28T00:00:00"/>
    <x v="4"/>
    <s v="Festival Offer"/>
    <n v="4335.8500000000004"/>
    <n v="135"/>
    <n v="7"/>
    <n v="39062.910000000003"/>
    <n v="5.1852"/>
    <n v="800.92853765697623"/>
    <s v="Positive"/>
  </r>
  <r>
    <d v="2025-11-20T00:00:00"/>
    <x v="3"/>
    <s v="New Product Launch"/>
    <n v="3508.88"/>
    <n v="205"/>
    <n v="13"/>
    <n v="31299.54"/>
    <n v="6.3414999999999999"/>
    <n v="792.00941610998382"/>
    <s v="Positive"/>
  </r>
  <r>
    <d v="2025-08-21T00:00:00"/>
    <x v="0"/>
    <s v="New Product Launch"/>
    <n v="10868.79"/>
    <n v="91"/>
    <n v="6"/>
    <n v="18288.89"/>
    <n v="6.5933999999999999"/>
    <n v="68.269789001351555"/>
    <s v="Positive"/>
  </r>
  <r>
    <d v="2025-05-17T00:00:00"/>
    <x v="4"/>
    <s v="Brand Awareness"/>
    <n v="5983.73"/>
    <n v="78"/>
    <n v="3"/>
    <n v="11450.45"/>
    <n v="3.8462000000000001"/>
    <n v="91.359737153915731"/>
    <s v="Positive"/>
  </r>
  <r>
    <d v="2025-07-21T00:00:00"/>
    <x v="4"/>
    <s v="Retargeting Campaign"/>
    <n v="10304.700000000001"/>
    <n v="195"/>
    <n v="14"/>
    <n v="73559.47"/>
    <n v="7.1795"/>
    <n v="613.84387706580492"/>
    <s v="Positive"/>
  </r>
  <r>
    <d v="2025-03-31T00:00:00"/>
    <x v="2"/>
    <s v="New Product Launch"/>
    <n v="13631.21"/>
    <n v="197"/>
    <n v="44"/>
    <n v="180795.74"/>
    <n v="22.335000000000001"/>
    <n v="1226.336693514369"/>
    <s v="Positive"/>
  </r>
  <r>
    <d v="2025-05-16T00:00:00"/>
    <x v="2"/>
    <s v="Retargeting Campaign"/>
    <n v="5446.54"/>
    <n v="103"/>
    <n v="21"/>
    <n v="71851.929999999993"/>
    <n v="20.388300000000001"/>
    <n v="1219.2215608441322"/>
    <s v="Positive"/>
  </r>
  <r>
    <d v="2025-07-30T00:00:00"/>
    <x v="4"/>
    <s v="Brand Awareness"/>
    <n v="1295.8900000000001"/>
    <n v="98"/>
    <n v="2"/>
    <n v="7256.5"/>
    <n v="2.0407999999999999"/>
    <n v="459.96265115094639"/>
    <s v="Positive"/>
  </r>
  <r>
    <d v="2025-02-14T00:00:00"/>
    <x v="0"/>
    <s v="New Product Launch"/>
    <n v="4258.5200000000004"/>
    <n v="230"/>
    <n v="45"/>
    <n v="118253.78"/>
    <n v="19.565200000000001"/>
    <n v="2676.8750645764253"/>
    <s v="Positive"/>
  </r>
  <r>
    <d v="2025-02-12T00:00:00"/>
    <x v="1"/>
    <s v="Retargeting Campaign"/>
    <n v="3507.18"/>
    <n v="37"/>
    <n v="6"/>
    <n v="30173.59"/>
    <n v="16.216200000000001"/>
    <n v="760.33765019189207"/>
    <s v="Positive"/>
  </r>
  <r>
    <d v="2025-07-21T00:00:00"/>
    <x v="1"/>
    <s v="Retargeting Campaign"/>
    <n v="4395.74"/>
    <n v="167"/>
    <n v="63"/>
    <n v="141850"/>
    <n v="37.724600000000002"/>
    <n v="3126.9879474218224"/>
    <s v="Positive"/>
  </r>
  <r>
    <d v="2025-08-25T00:00:00"/>
    <x v="0"/>
    <s v="Festival Offer"/>
    <n v="3563.99"/>
    <n v="224"/>
    <n v="2"/>
    <n v="2838.97"/>
    <n v="0.89290000000000003"/>
    <n v="-20.342930255135396"/>
    <s v="Negative"/>
  </r>
  <r>
    <d v="2025-10-29T00:00:00"/>
    <x v="3"/>
    <s v="Brand Awareness"/>
    <n v="9185.69"/>
    <n v="48"/>
    <n v="17"/>
    <n v="38358.03"/>
    <n v="35.416699999999999"/>
    <n v="317.58463436061953"/>
    <s v="Positive"/>
  </r>
  <r>
    <d v="2025-07-09T00:00:00"/>
    <x v="1"/>
    <s v="New Product Launch"/>
    <n v="8453.6"/>
    <n v="193"/>
    <n v="47"/>
    <n v="262579.65999999997"/>
    <n v="24.3523"/>
    <n v="3006.1282767105135"/>
    <s v="Positive"/>
  </r>
  <r>
    <d v="2025-01-16T00:00:00"/>
    <x v="3"/>
    <s v="Brand Awareness"/>
    <n v="7155.94"/>
    <n v="165"/>
    <n v="13"/>
    <n v="62947.15"/>
    <n v="7.8788"/>
    <n v="779.64893501063455"/>
    <s v="Positive"/>
  </r>
  <r>
    <d v="2025-06-09T00:00:00"/>
    <x v="1"/>
    <s v="Brand Awareness"/>
    <n v="5071.43"/>
    <n v="208"/>
    <n v="47"/>
    <n v="62482.12"/>
    <n v="22.5962"/>
    <n v="1132.0414557629701"/>
    <s v="Positive"/>
  </r>
  <r>
    <d v="2025-06-07T00:00:00"/>
    <x v="0"/>
    <s v="Brand Awareness"/>
    <n v="10736.56"/>
    <n v="110"/>
    <n v="29"/>
    <n v="121656.54"/>
    <n v="26.363600000000002"/>
    <n v="1033.1053894357224"/>
    <s v="Positive"/>
  </r>
  <r>
    <d v="2025-04-09T00:00:00"/>
    <x v="1"/>
    <s v="Lead Generation"/>
    <n v="13585.06"/>
    <n v="27"/>
    <n v="3"/>
    <n v="16621.63"/>
    <n v="11.1111"/>
    <n v="22.352275219984318"/>
    <s v="Positive"/>
  </r>
  <r>
    <d v="2025-05-09T00:00:00"/>
    <x v="1"/>
    <s v="Lead Generation"/>
    <n v="3987.44"/>
    <n v="183"/>
    <n v="68"/>
    <n v="166924.82999999999"/>
    <n v="37.158499999999997"/>
    <n v="4086.2656240595461"/>
    <s v="Positive"/>
  </r>
  <r>
    <d v="2025-01-04T00:00:00"/>
    <x v="4"/>
    <s v="Festival Offer"/>
    <n v="10304.99"/>
    <n v="207"/>
    <n v="64"/>
    <n v="325971.20000000001"/>
    <n v="30.917899999999999"/>
    <n v="3063.236451466717"/>
    <s v="Positive"/>
  </r>
  <r>
    <d v="2025-10-05T00:00:00"/>
    <x v="3"/>
    <s v="Lead Generation"/>
    <n v="4444.6099999999997"/>
    <n v="207"/>
    <n v="10"/>
    <n v="21031.83"/>
    <n v="4.8308999999999997"/>
    <n v="373.19854835407386"/>
    <s v="Positive"/>
  </r>
  <r>
    <d v="2025-09-09T00:00:00"/>
    <x v="3"/>
    <s v="Retargeting Campaign"/>
    <n v="13502.46"/>
    <n v="166"/>
    <n v="44"/>
    <n v="211343.07"/>
    <n v="26.506"/>
    <n v="1465.2190045369512"/>
    <s v="Positive"/>
  </r>
  <r>
    <d v="2025-01-17T00:00:00"/>
    <x v="1"/>
    <s v="Brand Awareness"/>
    <n v="4819.93"/>
    <n v="176"/>
    <n v="63"/>
    <n v="151241.46"/>
    <n v="35.795499999999997"/>
    <n v="3037.8351967767167"/>
    <s v="Positive"/>
  </r>
  <r>
    <d v="2025-09-25T00:00:00"/>
    <x v="0"/>
    <s v="Lead Generation"/>
    <n v="13977.3"/>
    <n v="210"/>
    <n v="39"/>
    <n v="221519.09"/>
    <n v="18.571400000000001"/>
    <n v="1484.8489336280973"/>
    <s v="Positive"/>
  </r>
  <r>
    <d v="2025-06-24T00:00:00"/>
    <x v="0"/>
    <s v="Lead Generation"/>
    <n v="14829.42"/>
    <n v="247"/>
    <n v="22"/>
    <n v="54073.37"/>
    <n v="8.9069000000000003"/>
    <n v="264.63577132483942"/>
    <s v="Positive"/>
  </r>
  <r>
    <d v="2025-09-22T00:00:00"/>
    <x v="0"/>
    <s v="Retargeting Campaign"/>
    <n v="2051.11"/>
    <n v="168"/>
    <n v="31"/>
    <n v="148597.17000000001"/>
    <n v="18.452400000000001"/>
    <n v="7144.7196883638626"/>
    <s v="Positive"/>
  </r>
  <r>
    <d v="2025-08-15T00:00:00"/>
    <x v="1"/>
    <s v="Lead Generation"/>
    <n v="10753.86"/>
    <n v="56"/>
    <n v="3"/>
    <n v="11761.88"/>
    <n v="5.3571"/>
    <n v="9.37356446894416"/>
    <s v="Positive"/>
  </r>
  <r>
    <d v="2025-06-26T00:00:00"/>
    <x v="1"/>
    <s v="Festival Offer"/>
    <n v="4901.9799999999996"/>
    <n v="231"/>
    <n v="39"/>
    <n v="47882.61"/>
    <n v="16.883099999999999"/>
    <n v="876.8014149384536"/>
    <s v="Positive"/>
  </r>
  <r>
    <d v="2025-11-08T00:00:00"/>
    <x v="1"/>
    <s v="Brand Awareness"/>
    <n v="7228.89"/>
    <n v="48"/>
    <n v="14"/>
    <n v="81806.22"/>
    <n v="29.166699999999999"/>
    <n v="1031.6567273813823"/>
    <s v="Positive"/>
  </r>
  <r>
    <d v="2025-03-26T00:00:00"/>
    <x v="1"/>
    <s v="New Product Launch"/>
    <n v="14893.31"/>
    <n v="69"/>
    <n v="27"/>
    <n v="67017.919999999998"/>
    <n v="39.130400000000002"/>
    <n v="349.98673901234849"/>
    <s v="Positive"/>
  </r>
  <r>
    <d v="2025-12-13T00:00:00"/>
    <x v="4"/>
    <s v="Festival Offer"/>
    <n v="4960.3500000000004"/>
    <n v="122"/>
    <n v="48"/>
    <n v="190754.84"/>
    <n v="39.344299999999997"/>
    <n v="3745.5923473142016"/>
    <s v="Positive"/>
  </r>
  <r>
    <d v="2025-05-25T00:00:00"/>
    <x v="4"/>
    <s v="Lead Generation"/>
    <n v="8419.39"/>
    <n v="160"/>
    <n v="9"/>
    <n v="47963.65"/>
    <n v="5.625"/>
    <n v="469.68082010691995"/>
    <s v="Positive"/>
  </r>
  <r>
    <d v="2025-11-09T00:00:00"/>
    <x v="3"/>
    <s v="Retargeting Campaign"/>
    <n v="10194.69"/>
    <n v="131"/>
    <n v="45"/>
    <n v="150165"/>
    <n v="34.351100000000002"/>
    <n v="1372.9726946086637"/>
    <s v="Positive"/>
  </r>
  <r>
    <d v="2025-12-17T00:00:00"/>
    <x v="4"/>
    <s v="Brand Awareness"/>
    <n v="6420.93"/>
    <n v="176"/>
    <n v="58"/>
    <n v="58564.51"/>
    <n v="32.954500000000003"/>
    <n v="812.08765708394264"/>
    <s v="Positive"/>
  </r>
  <r>
    <d v="2025-04-15T00:00:00"/>
    <x v="4"/>
    <s v="New Product Launch"/>
    <n v="9130.8700000000008"/>
    <n v="114"/>
    <n v="8"/>
    <n v="32104.06"/>
    <n v="7.0175000000000001"/>
    <n v="251.59913567929456"/>
    <s v="Positive"/>
  </r>
  <r>
    <d v="2025-02-14T00:00:00"/>
    <x v="3"/>
    <s v="Lead Generation"/>
    <n v="10289"/>
    <n v="111"/>
    <n v="40"/>
    <n v="212776.22"/>
    <n v="36.036000000000001"/>
    <n v="1967.9970842647488"/>
    <s v="Positive"/>
  </r>
  <r>
    <d v="2025-06-30T00:00:00"/>
    <x v="3"/>
    <s v="Festival Offer"/>
    <n v="13802.67"/>
    <n v="215"/>
    <n v="38"/>
    <n v="114706.14"/>
    <n v="17.674399999999999"/>
    <n v="731.04312426508784"/>
    <s v="Positive"/>
  </r>
  <r>
    <d v="2025-04-27T00:00:00"/>
    <x v="4"/>
    <s v="New Product Launch"/>
    <n v="4932.54"/>
    <n v="190"/>
    <n v="46"/>
    <n v="148087.6"/>
    <n v="24.2105"/>
    <n v="2902.2584712947082"/>
    <s v="Positive"/>
  </r>
  <r>
    <d v="2025-07-30T00:00:00"/>
    <x v="0"/>
    <s v="Festival Offer"/>
    <n v="8976.76"/>
    <n v="191"/>
    <n v="66"/>
    <n v="165831.65"/>
    <n v="34.555"/>
    <n v="1747.3441419844128"/>
    <s v="Positive"/>
  </r>
  <r>
    <d v="2025-09-14T00:00:00"/>
    <x v="0"/>
    <s v="Brand Awareness"/>
    <n v="2810.05"/>
    <n v="73"/>
    <n v="5"/>
    <n v="12773.4"/>
    <n v="6.8493000000000004"/>
    <n v="354.56130673831422"/>
    <s v="Positive"/>
  </r>
  <r>
    <d v="2025-07-17T00:00:00"/>
    <x v="1"/>
    <s v="Brand Awareness"/>
    <n v="6029.59"/>
    <n v="165"/>
    <n v="1"/>
    <n v="2685.68"/>
    <n v="0.60609999999999997"/>
    <n v="-55.458331329327535"/>
    <s v="Negative"/>
  </r>
  <r>
    <d v="2025-10-08T00:00:00"/>
    <x v="0"/>
    <s v="Lead Generation"/>
    <n v="2963.81"/>
    <n v="245"/>
    <n v="92"/>
    <n v="442336.97"/>
    <n v="37.551000000000002"/>
    <n v="14824.606165712376"/>
    <s v="Positive"/>
  </r>
  <r>
    <d v="2025-02-05T00:00:00"/>
    <x v="0"/>
    <s v="Lead Generation"/>
    <n v="7919.1"/>
    <n v="69"/>
    <n v="27"/>
    <n v="131886.62"/>
    <n v="39.130400000000002"/>
    <n v="1565.4243537775756"/>
    <s v="Positive"/>
  </r>
  <r>
    <d v="2025-04-18T00:00:00"/>
    <x v="1"/>
    <s v="Lead Generation"/>
    <n v="8273.91"/>
    <n v="36"/>
    <n v="14"/>
    <n v="65814.48"/>
    <n v="38.8889"/>
    <n v="695.44592580774975"/>
    <s v="Positive"/>
  </r>
  <r>
    <d v="2025-03-13T00:00:00"/>
    <x v="1"/>
    <s v="Retargeting Campaign"/>
    <n v="4912.0200000000004"/>
    <n v="25"/>
    <n v="4"/>
    <n v="21268.75"/>
    <n v="16"/>
    <n v="332.99396175097002"/>
    <s v="Positive"/>
  </r>
  <r>
    <d v="2025-11-09T00:00:00"/>
    <x v="1"/>
    <s v="Brand Awareness"/>
    <n v="5448.53"/>
    <n v="146"/>
    <n v="36"/>
    <n v="85060.81"/>
    <n v="24.657499999999999"/>
    <n v="1461.1698935309157"/>
    <s v="Positive"/>
  </r>
  <r>
    <d v="2025-06-17T00:00:00"/>
    <x v="4"/>
    <s v="Lead Generation"/>
    <n v="11118.95"/>
    <n v="174"/>
    <n v="33"/>
    <n v="108283.1"/>
    <n v="18.965499999999999"/>
    <n v="873.86084117654991"/>
    <s v="Positive"/>
  </r>
  <r>
    <d v="2025-08-26T00:00:00"/>
    <x v="3"/>
    <s v="Retargeting Campaign"/>
    <n v="11838.56"/>
    <n v="126"/>
    <n v="2"/>
    <n v="3993.41"/>
    <n v="1.5872999999999999"/>
    <n v="-66.267772431782248"/>
    <s v="Negative"/>
  </r>
  <r>
    <d v="2025-07-24T00:00:00"/>
    <x v="3"/>
    <s v="Retargeting Campaign"/>
    <n v="2418.38"/>
    <n v="133"/>
    <n v="3"/>
    <n v="12748.65"/>
    <n v="2.2555999999999998"/>
    <n v="427.15660896964084"/>
    <s v="Positive"/>
  </r>
  <r>
    <d v="2025-08-14T00:00:00"/>
    <x v="4"/>
    <s v="New Product Launch"/>
    <n v="6537.48"/>
    <n v="186"/>
    <n v="33"/>
    <n v="170586.09"/>
    <n v="17.741900000000001"/>
    <n v="2509.3554397107141"/>
    <s v="Positive"/>
  </r>
  <r>
    <d v="2025-02-20T00:00:00"/>
    <x v="3"/>
    <s v="Festival Offer"/>
    <n v="5633.45"/>
    <n v="176"/>
    <n v="29"/>
    <n v="107475.26"/>
    <n v="16.4773"/>
    <n v="1807.8053413094995"/>
    <s v="Positive"/>
  </r>
  <r>
    <d v="2025-10-06T00:00:00"/>
    <x v="3"/>
    <s v="New Product Launch"/>
    <n v="1906.44"/>
    <n v="155"/>
    <n v="62"/>
    <n v="69266.98"/>
    <n v="40"/>
    <n v="3533.3154990453409"/>
    <s v="Positive"/>
  </r>
  <r>
    <d v="2025-09-06T00:00:00"/>
    <x v="1"/>
    <s v="New Product Launch"/>
    <n v="7229.71"/>
    <n v="42"/>
    <n v="16"/>
    <n v="17435.169999999998"/>
    <n v="38.095199999999998"/>
    <n v="141.16001886659353"/>
    <s v="Positive"/>
  </r>
  <r>
    <d v="2025-11-01T00:00:00"/>
    <x v="2"/>
    <s v="New Product Launch"/>
    <n v="10857.12"/>
    <n v="104"/>
    <n v="29"/>
    <n v="148130.95000000001"/>
    <n v="27.884599999999999"/>
    <n v="1264.3668855092328"/>
    <s v="Positive"/>
  </r>
  <r>
    <d v="2025-04-16T00:00:00"/>
    <x v="4"/>
    <s v="Festival Offer"/>
    <n v="10278.450000000001"/>
    <n v="45"/>
    <n v="7"/>
    <n v="12581.99"/>
    <n v="15.5556"/>
    <n v="22.411355797809971"/>
    <s v="Positive"/>
  </r>
  <r>
    <d v="2025-09-13T00:00:00"/>
    <x v="0"/>
    <s v="Retargeting Campaign"/>
    <n v="7527.48"/>
    <n v="76"/>
    <n v="24"/>
    <n v="130466.41"/>
    <n v="31.578900000000001"/>
    <n v="1633.2016823691329"/>
    <s v="Positive"/>
  </r>
  <r>
    <d v="2025-12-08T00:00:00"/>
    <x v="4"/>
    <s v="New Product Launch"/>
    <n v="6834.08"/>
    <n v="227"/>
    <n v="18"/>
    <n v="95744.67"/>
    <n v="7.9295"/>
    <n v="1300.9884285814624"/>
    <s v="Positive"/>
  </r>
  <r>
    <d v="2025-01-28T00:00:00"/>
    <x v="3"/>
    <s v="Retargeting Campaign"/>
    <n v="7888.22"/>
    <n v="235"/>
    <n v="74"/>
    <n v="361964.53"/>
    <n v="31.4894"/>
    <n v="4488.6718423167713"/>
    <s v="Positive"/>
  </r>
  <r>
    <d v="2025-08-13T00:00:00"/>
    <x v="1"/>
    <s v="Brand Awareness"/>
    <n v="8840.42"/>
    <n v="102"/>
    <n v="10"/>
    <n v="58501.86"/>
    <n v="9.8039000000000005"/>
    <n v="561.75430579090141"/>
    <s v="Positive"/>
  </r>
  <r>
    <d v="2025-08-01T00:00:00"/>
    <x v="0"/>
    <s v="Lead Generation"/>
    <n v="2619.08"/>
    <n v="94"/>
    <n v="26"/>
    <n v="140048.79999999999"/>
    <n v="27.659600000000001"/>
    <n v="5247.2517067061717"/>
    <s v="Positive"/>
  </r>
  <r>
    <d v="2025-08-14T00:00:00"/>
    <x v="4"/>
    <s v="New Product Launch"/>
    <n v="10934.19"/>
    <n v="95"/>
    <n v="33"/>
    <n v="47455.48"/>
    <n v="34.736800000000002"/>
    <n v="334.01001811748284"/>
    <s v="Positive"/>
  </r>
  <r>
    <d v="2025-11-02T00:00:00"/>
    <x v="2"/>
    <s v="Brand Awareness"/>
    <n v="9055.31"/>
    <n v="191"/>
    <n v="66"/>
    <n v="365965.99"/>
    <n v="34.555"/>
    <n v="3941.4518111472717"/>
    <s v="Positive"/>
  </r>
  <r>
    <d v="2025-01-16T00:00:00"/>
    <x v="4"/>
    <s v="Brand Awareness"/>
    <n v="6763.9"/>
    <n v="25"/>
    <n v="7"/>
    <n v="23618.67"/>
    <n v="28"/>
    <n v="249.18715533937518"/>
    <s v="Positive"/>
  </r>
  <r>
    <d v="2025-10-16T00:00:00"/>
    <x v="3"/>
    <s v="Festival Offer"/>
    <n v="5077.18"/>
    <n v="49"/>
    <n v="12"/>
    <n v="70553.919999999998"/>
    <n v="24.489799999999999"/>
    <n v="1289.6281006385432"/>
    <s v="Positive"/>
  </r>
  <r>
    <d v="2025-01-07T00:00:00"/>
    <x v="0"/>
    <s v="Retargeting Campaign"/>
    <n v="5031.6400000000003"/>
    <n v="140"/>
    <n v="42"/>
    <n v="225669.7"/>
    <n v="30"/>
    <n v="4385.0128387563491"/>
    <s v="Positive"/>
  </r>
  <r>
    <d v="2025-08-03T00:00:00"/>
    <x v="0"/>
    <s v="Brand Awareness"/>
    <n v="2569.9499999999998"/>
    <n v="39"/>
    <n v="15"/>
    <n v="86810.54"/>
    <n v="38.461500000000001"/>
    <n v="3277.9077413957475"/>
    <s v="Positive"/>
  </r>
  <r>
    <d v="2025-06-22T00:00:00"/>
    <x v="0"/>
    <s v="Festival Offer"/>
    <n v="11582.88"/>
    <n v="186"/>
    <n v="48"/>
    <n v="65137.09"/>
    <n v="25.8065"/>
    <n v="462.35659870429464"/>
    <s v="Positive"/>
  </r>
  <r>
    <d v="2025-08-15T00:00:00"/>
    <x v="0"/>
    <s v="Festival Offer"/>
    <n v="1756.7"/>
    <n v="68"/>
    <n v="9"/>
    <n v="43344.68"/>
    <n v="13.235300000000001"/>
    <n v="2367.3922695964025"/>
    <s v="Positive"/>
  </r>
  <r>
    <d v="2025-08-03T00:00:00"/>
    <x v="0"/>
    <s v="Festival Offer"/>
    <n v="13577.58"/>
    <n v="230"/>
    <n v="18"/>
    <n v="65859.56"/>
    <n v="7.8261000000000003"/>
    <n v="385.06110809142717"/>
    <s v="Positive"/>
  </r>
  <r>
    <d v="2025-01-17T00:00:00"/>
    <x v="1"/>
    <s v="New Product Launch"/>
    <n v="1005.56"/>
    <n v="207"/>
    <n v="40"/>
    <n v="184052.62"/>
    <n v="19.323699999999999"/>
    <n v="18203.494570189749"/>
    <s v="Positive"/>
  </r>
  <r>
    <d v="2025-10-31T00:00:00"/>
    <x v="3"/>
    <s v="Retargeting Campaign"/>
    <n v="5536.36"/>
    <n v="122"/>
    <n v="38"/>
    <n v="130229.67"/>
    <n v="31.147500000000001"/>
    <n v="2252.2615942604889"/>
    <s v="Positive"/>
  </r>
  <r>
    <d v="2025-02-15T00:00:00"/>
    <x v="4"/>
    <s v="New Product Launch"/>
    <n v="4576.4399999999996"/>
    <n v="175"/>
    <n v="53"/>
    <n v="140480.04999999999"/>
    <n v="30.285699999999999"/>
    <n v="2969.6360052792124"/>
    <s v="Positive"/>
  </r>
  <r>
    <d v="2025-02-28T00:00:00"/>
    <x v="0"/>
    <s v="Retargeting Campaign"/>
    <n v="9983.58"/>
    <n v="75"/>
    <n v="23"/>
    <n v="60612.43"/>
    <n v="30.666699999999999"/>
    <n v="507.12119299890423"/>
    <s v="Positive"/>
  </r>
  <r>
    <d v="2025-07-25T00:00:00"/>
    <x v="4"/>
    <s v="Retargeting Campaign"/>
    <n v="8144.61"/>
    <n v="116"/>
    <n v="46"/>
    <n v="258891.97"/>
    <n v="39.655200000000001"/>
    <n v="3078.6908151525981"/>
    <s v="Positive"/>
  </r>
  <r>
    <d v="2025-07-05T00:00:00"/>
    <x v="3"/>
    <s v="Retargeting Campaign"/>
    <n v="12437.82"/>
    <n v="241"/>
    <n v="6"/>
    <n v="10992.91"/>
    <n v="2.4895999999999998"/>
    <n v="-11.617067942774536"/>
    <s v="Negative"/>
  </r>
  <r>
    <d v="2025-09-16T00:00:00"/>
    <x v="3"/>
    <s v="Lead Generation"/>
    <n v="13408.12"/>
    <n v="179"/>
    <n v="27"/>
    <n v="77940.679999999993"/>
    <n v="15.0838"/>
    <n v="481.29461848491798"/>
    <s v="Positive"/>
  </r>
  <r>
    <d v="2025-04-13T00:00:00"/>
    <x v="0"/>
    <s v="Retargeting Campaign"/>
    <n v="11130.29"/>
    <n v="34"/>
    <n v="6"/>
    <n v="27092.98"/>
    <n v="17.647099999999998"/>
    <n v="143.41665850575319"/>
    <s v="Positive"/>
  </r>
  <r>
    <d v="2025-04-22T00:00:00"/>
    <x v="4"/>
    <s v="Festival Offer"/>
    <n v="8975.91"/>
    <n v="243"/>
    <n v="67"/>
    <n v="321630.92"/>
    <n v="27.571999999999999"/>
    <n v="3483.2681031783964"/>
    <s v="Positive"/>
  </r>
  <r>
    <d v="2025-08-06T00:00:00"/>
    <x v="0"/>
    <s v="Retargeting Campaign"/>
    <n v="14549.92"/>
    <n v="80"/>
    <n v="2"/>
    <n v="11783.49"/>
    <n v="2.5"/>
    <n v="-19.013369145672279"/>
    <s v="Negative"/>
  </r>
  <r>
    <d v="2025-11-25T00:00:00"/>
    <x v="3"/>
    <s v="Festival Offer"/>
    <n v="1693.28"/>
    <n v="163"/>
    <n v="15"/>
    <n v="44426.77"/>
    <n v="9.2025000000000006"/>
    <n v="2523.7107861664936"/>
    <s v="Positive"/>
  </r>
  <r>
    <d v="2025-01-15T00:00:00"/>
    <x v="2"/>
    <s v="Festival Offer"/>
    <n v="5342.25"/>
    <n v="148"/>
    <n v="20"/>
    <n v="98073.39"/>
    <n v="13.513500000000001"/>
    <n v="1735.8068229678504"/>
    <s v="Positive"/>
  </r>
  <r>
    <d v="2025-01-06T00:00:00"/>
    <x v="0"/>
    <s v="New Product Launch"/>
    <n v="6181.95"/>
    <n v="154"/>
    <n v="39"/>
    <n v="141030.88"/>
    <n v="25.3247"/>
    <n v="2181.3332362765796"/>
    <s v="Positive"/>
  </r>
  <r>
    <d v="2025-05-25T00:00:00"/>
    <x v="2"/>
    <s v="Brand Awareness"/>
    <n v="14447.33"/>
    <n v="240"/>
    <n v="46"/>
    <n v="222815.75"/>
    <n v="19.166699999999999"/>
    <n v="1442.2624803337364"/>
    <s v="Positive"/>
  </r>
  <r>
    <d v="2025-11-01T00:00:00"/>
    <x v="4"/>
    <s v="Festival Offer"/>
    <n v="7771.1"/>
    <n v="24"/>
    <n v="1"/>
    <n v="1246.29"/>
    <n v="4.1666999999999996"/>
    <n v="-83.962502091081063"/>
    <s v="Negative"/>
  </r>
  <r>
    <d v="2025-04-29T00:00:00"/>
    <x v="0"/>
    <s v="Lead Generation"/>
    <n v="7040.05"/>
    <n v="97"/>
    <n v="33"/>
    <n v="36179.46"/>
    <n v="34.020600000000002"/>
    <n v="413.90913416808121"/>
    <s v="Positive"/>
  </r>
  <r>
    <d v="2025-06-12T00:00:00"/>
    <x v="3"/>
    <s v="Festival Offer"/>
    <n v="2984.12"/>
    <n v="47"/>
    <n v="8"/>
    <n v="30860.09"/>
    <n v="17.0213"/>
    <n v="934.14373416618639"/>
    <s v="Positive"/>
  </r>
  <r>
    <d v="2025-01-02T00:00:00"/>
    <x v="3"/>
    <s v="Retargeting Campaign"/>
    <n v="4733.3500000000004"/>
    <n v="90"/>
    <n v="8"/>
    <n v="21092.78"/>
    <n v="8.8888999999999996"/>
    <n v="345.62054358963519"/>
    <s v="Positive"/>
  </r>
  <r>
    <d v="2025-03-24T00:00:00"/>
    <x v="3"/>
    <s v="Retargeting Campaign"/>
    <n v="12759.77"/>
    <n v="234"/>
    <n v="44"/>
    <n v="133537.14000000001"/>
    <n v="18.8034"/>
    <n v="946.54817445769015"/>
    <s v="Positive"/>
  </r>
  <r>
    <d v="2025-10-19T00:00:00"/>
    <x v="1"/>
    <s v="Brand Awareness"/>
    <n v="11681.85"/>
    <n v="135"/>
    <n v="20"/>
    <n v="113311.06"/>
    <n v="14.8148"/>
    <n v="869.97530356921186"/>
    <s v="Positive"/>
  </r>
  <r>
    <d v="2025-10-10T00:00:00"/>
    <x v="1"/>
    <s v="Retargeting Campaign"/>
    <n v="7842.15"/>
    <n v="230"/>
    <n v="56"/>
    <n v="121329.61"/>
    <n v="24.347799999999999"/>
    <n v="1447.1472746631982"/>
    <s v="Positive"/>
  </r>
  <r>
    <d v="2025-05-14T00:00:00"/>
    <x v="4"/>
    <s v="Festival Offer"/>
    <n v="8992.2999999999993"/>
    <n v="231"/>
    <n v="79"/>
    <n v="236281.03"/>
    <n v="34.199100000000001"/>
    <n v="2527.592829420727"/>
    <s v="Positive"/>
  </r>
  <r>
    <d v="2025-05-07T00:00:00"/>
    <x v="2"/>
    <s v="Retargeting Campaign"/>
    <n v="6103.09"/>
    <n v="173"/>
    <n v="57"/>
    <n v="116375.66"/>
    <n v="32.948"/>
    <n v="1806.8317852104424"/>
    <s v="Positive"/>
  </r>
  <r>
    <d v="2025-09-23T00:00:00"/>
    <x v="1"/>
    <s v="Festival Offer"/>
    <n v="12749.53"/>
    <n v="41"/>
    <n v="2"/>
    <n v="5878.69"/>
    <n v="4.8780000000000001"/>
    <n v="-53.890927744003115"/>
    <s v="Negative"/>
  </r>
  <r>
    <d v="2025-07-04T00:00:00"/>
    <x v="0"/>
    <s v="Festival Offer"/>
    <n v="3495.15"/>
    <n v="137"/>
    <n v="18"/>
    <n v="107492.35"/>
    <n v="13.1387"/>
    <n v="2975.4717251047882"/>
    <s v="Positive"/>
  </r>
  <r>
    <d v="2025-12-30T00:00:00"/>
    <x v="0"/>
    <s v="New Product Launch"/>
    <n v="14932.23"/>
    <n v="104"/>
    <n v="33"/>
    <n v="79222.2"/>
    <n v="31.730799999999999"/>
    <n v="430.54500232048395"/>
    <s v="Positive"/>
  </r>
  <r>
    <d v="2025-09-12T00:00:00"/>
    <x v="1"/>
    <s v="Lead Generation"/>
    <n v="6347.88"/>
    <n v="192"/>
    <n v="66"/>
    <n v="389168.21"/>
    <n v="34.375"/>
    <n v="6030.6800065533689"/>
    <s v="Positive"/>
  </r>
  <r>
    <d v="2025-09-06T00:00:00"/>
    <x v="1"/>
    <s v="Festival Offer"/>
    <n v="1383.41"/>
    <n v="51"/>
    <n v="10"/>
    <n v="12751.59"/>
    <n v="19.607800000000001"/>
    <n v="821.75060177387763"/>
    <s v="Positive"/>
  </r>
  <r>
    <d v="2025-11-19T00:00:00"/>
    <x v="1"/>
    <s v="Festival Offer"/>
    <n v="7401.18"/>
    <n v="189"/>
    <n v="60"/>
    <n v="130655.51"/>
    <n v="31.745999999999999"/>
    <n v="1665.3335008741849"/>
    <s v="Positive"/>
  </r>
  <r>
    <d v="2025-05-02T00:00:00"/>
    <x v="2"/>
    <s v="New Product Launch"/>
    <n v="10229.870000000001"/>
    <n v="59"/>
    <n v="14"/>
    <n v="70632.73"/>
    <n v="23.7288"/>
    <n v="590.45579269335769"/>
    <s v="Positive"/>
  </r>
  <r>
    <d v="2025-10-10T00:00:00"/>
    <x v="4"/>
    <s v="Lead Generation"/>
    <n v="6644.67"/>
    <n v="139"/>
    <n v="47"/>
    <n v="272116.06"/>
    <n v="33.812899999999999"/>
    <n v="3995.2531878934542"/>
    <s v="Positive"/>
  </r>
  <r>
    <d v="2025-12-25T00:00:00"/>
    <x v="1"/>
    <s v="Festival Offer"/>
    <n v="8683.3700000000008"/>
    <n v="56"/>
    <n v="9"/>
    <n v="31911.13"/>
    <n v="16.071400000000001"/>
    <n v="267.49706623119829"/>
    <s v="Positive"/>
  </r>
  <r>
    <d v="2025-08-15T00:00:00"/>
    <x v="1"/>
    <s v="New Product Launch"/>
    <n v="8845.31"/>
    <n v="85"/>
    <n v="25"/>
    <n v="109925.5"/>
    <n v="29.411799999999999"/>
    <n v="1142.7546349421332"/>
    <s v="Positive"/>
  </r>
  <r>
    <d v="2025-07-02T00:00:00"/>
    <x v="4"/>
    <s v="Retargeting Campaign"/>
    <n v="4296.7"/>
    <n v="26"/>
    <n v="6"/>
    <n v="14348.57"/>
    <n v="23.076899999999998"/>
    <n v="233.9439569902483"/>
    <s v="Positive"/>
  </r>
  <r>
    <d v="2025-02-26T00:00:00"/>
    <x v="3"/>
    <s v="Brand Awareness"/>
    <n v="4572.78"/>
    <n v="46"/>
    <n v="18"/>
    <n v="57928.66"/>
    <n v="39.130400000000002"/>
    <n v="1166.8149353347419"/>
    <s v="Positive"/>
  </r>
  <r>
    <d v="2025-10-29T00:00:00"/>
    <x v="2"/>
    <s v="New Product Launch"/>
    <n v="13438.37"/>
    <n v="24"/>
    <n v="1"/>
    <n v="3221.69"/>
    <n v="4.1666999999999996"/>
    <n v="-76.026184723296055"/>
    <s v="Negative"/>
  </r>
  <r>
    <d v="2025-03-05T00:00:00"/>
    <x v="0"/>
    <s v="New Product Launch"/>
    <n v="13916.48"/>
    <n v="23"/>
    <n v="4"/>
    <n v="18451.62"/>
    <n v="17.391300000000001"/>
    <n v="32.588269447446478"/>
    <s v="Positive"/>
  </r>
  <r>
    <d v="2025-11-04T00:00:00"/>
    <x v="0"/>
    <s v="Lead Generation"/>
    <n v="11383.4"/>
    <n v="47"/>
    <n v="3"/>
    <n v="6780.25"/>
    <n v="6.383"/>
    <n v="-40.43739128907005"/>
    <s v="Negative"/>
  </r>
  <r>
    <d v="2025-06-23T00:00:00"/>
    <x v="3"/>
    <s v="Festival Offer"/>
    <n v="6978.62"/>
    <n v="206"/>
    <n v="55"/>
    <n v="308336.90000000002"/>
    <n v="26.699000000000002"/>
    <n v="4318.3076310216065"/>
    <s v="Positive"/>
  </r>
  <r>
    <d v="2025-03-05T00:00:00"/>
    <x v="1"/>
    <s v="Retargeting Campaign"/>
    <n v="2722.23"/>
    <n v="70"/>
    <n v="6"/>
    <n v="17755.47"/>
    <n v="8.5714000000000006"/>
    <n v="552.23989155949357"/>
    <s v="Positive"/>
  </r>
  <r>
    <d v="2025-02-23T00:00:00"/>
    <x v="0"/>
    <s v="Brand Awareness"/>
    <n v="1002.19"/>
    <n v="144"/>
    <n v="42"/>
    <n v="135114.29999999999"/>
    <n v="29.166699999999999"/>
    <n v="13381.904628862787"/>
    <s v="Positive"/>
  </r>
  <r>
    <d v="2025-03-27T00:00:00"/>
    <x v="1"/>
    <s v="Lead Generation"/>
    <n v="11373.29"/>
    <n v="104"/>
    <n v="37"/>
    <n v="68314.92"/>
    <n v="35.576900000000002"/>
    <n v="500.66102244820974"/>
    <s v="Positive"/>
  </r>
  <r>
    <d v="2025-01-11T00:00:00"/>
    <x v="3"/>
    <s v="Festival Offer"/>
    <n v="9093.1200000000008"/>
    <n v="150"/>
    <n v="24"/>
    <n v="140504.1"/>
    <n v="16"/>
    <n v="1445.169314822635"/>
    <s v="Positive"/>
  </r>
  <r>
    <d v="2025-02-21T00:00:00"/>
    <x v="2"/>
    <s v="New Product Launch"/>
    <n v="7473.57"/>
    <n v="42"/>
    <n v="3"/>
    <n v="9971.69"/>
    <n v="7.1429"/>
    <n v="33.426060102467773"/>
    <s v="Positive"/>
  </r>
  <r>
    <d v="2025-04-25T00:00:00"/>
    <x v="1"/>
    <s v="Retargeting Campaign"/>
    <n v="6662.73"/>
    <n v="154"/>
    <n v="55"/>
    <n v="182447.44"/>
    <n v="35.714300000000001"/>
    <n v="2638.3285830282784"/>
    <s v="Positive"/>
  </r>
  <r>
    <d v="2025-08-18T00:00:00"/>
    <x v="1"/>
    <s v="Lead Generation"/>
    <n v="10968.48"/>
    <n v="148"/>
    <n v="50"/>
    <n v="104294.1"/>
    <n v="33.783799999999999"/>
    <n v="850.85280731696662"/>
    <s v="Positive"/>
  </r>
  <r>
    <d v="2025-03-21T00:00:00"/>
    <x v="1"/>
    <s v="Festival Offer"/>
    <n v="6178.1"/>
    <n v="71"/>
    <n v="9"/>
    <n v="53016.41"/>
    <n v="12.6761"/>
    <n v="758.13453974522918"/>
    <s v="Positive"/>
  </r>
  <r>
    <d v="2025-08-16T00:00:00"/>
    <x v="0"/>
    <s v="Lead Generation"/>
    <n v="10676.66"/>
    <n v="229"/>
    <n v="83"/>
    <n v="212762.56"/>
    <n v="36.244500000000002"/>
    <n v="1892.7820123521776"/>
    <s v="Positive"/>
  </r>
  <r>
    <d v="2025-08-31T00:00:00"/>
    <x v="2"/>
    <s v="Lead Generation"/>
    <n v="3015.69"/>
    <n v="148"/>
    <n v="43"/>
    <n v="164672.04999999999"/>
    <n v="29.054099999999998"/>
    <n v="5360.5098667303328"/>
    <s v="Positive"/>
  </r>
  <r>
    <d v="2025-07-25T00:00:00"/>
    <x v="3"/>
    <s v="Festival Offer"/>
    <n v="12987.65"/>
    <n v="184"/>
    <n v="69"/>
    <n v="323798.19"/>
    <n v="37.5"/>
    <n v="2393.1237752788224"/>
    <s v="Positive"/>
  </r>
  <r>
    <d v="2025-04-14T00:00:00"/>
    <x v="2"/>
    <s v="Retargeting Campaign"/>
    <n v="12401.79"/>
    <n v="37"/>
    <n v="7"/>
    <n v="28771.23"/>
    <n v="18.918900000000001"/>
    <n v="131.99255913864044"/>
    <s v="Positive"/>
  </r>
  <r>
    <d v="2025-06-20T00:00:00"/>
    <x v="4"/>
    <s v="Retargeting Campaign"/>
    <n v="4096.16"/>
    <n v="194"/>
    <n v="3"/>
    <n v="5907.2"/>
    <n v="1.5464"/>
    <n v="44.213116675129875"/>
    <s v="Positive"/>
  </r>
  <r>
    <d v="2025-06-19T00:00:00"/>
    <x v="2"/>
    <s v="Lead Generation"/>
    <n v="8095.17"/>
    <n v="212"/>
    <n v="50"/>
    <n v="184649.21"/>
    <n v="23.584900000000001"/>
    <n v="2180.9800164789617"/>
    <s v="Positive"/>
  </r>
  <r>
    <d v="2025-06-24T00:00:00"/>
    <x v="0"/>
    <s v="Retargeting Campaign"/>
    <n v="14781.95"/>
    <n v="24"/>
    <n v="8"/>
    <n v="29841.66"/>
    <n v="33.333300000000001"/>
    <n v="101.87904843406992"/>
    <s v="Positive"/>
  </r>
  <r>
    <d v="2025-03-28T00:00:00"/>
    <x v="3"/>
    <s v="Festival Offer"/>
    <n v="11658.39"/>
    <n v="199"/>
    <n v="42"/>
    <n v="177838.87"/>
    <n v="21.105499999999999"/>
    <n v="1425.4153446573669"/>
    <s v="Positive"/>
  </r>
  <r>
    <d v="2025-03-08T00:00:00"/>
    <x v="3"/>
    <s v="Retargeting Campaign"/>
    <n v="5493.78"/>
    <n v="162"/>
    <n v="44"/>
    <n v="203280.88"/>
    <n v="27.160499999999999"/>
    <n v="3600.200590485968"/>
    <s v="Positive"/>
  </r>
  <r>
    <d v="2025-09-11T00:00:00"/>
    <x v="0"/>
    <s v="Brand Awareness"/>
    <n v="12288.41"/>
    <n v="70"/>
    <n v="6"/>
    <n v="32656.13"/>
    <n v="8.5714000000000006"/>
    <n v="165.74739937876424"/>
    <s v="Positive"/>
  </r>
  <r>
    <d v="2025-04-11T00:00:00"/>
    <x v="1"/>
    <s v="Brand Awareness"/>
    <n v="6288.37"/>
    <n v="35"/>
    <n v="10"/>
    <n v="51481.62"/>
    <n v="28.571400000000001"/>
    <n v="718.67988047777089"/>
    <s v="Positive"/>
  </r>
  <r>
    <d v="2025-02-21T00:00:00"/>
    <x v="4"/>
    <s v="Brand Awareness"/>
    <n v="8276.1"/>
    <n v="133"/>
    <n v="44"/>
    <n v="115028.01"/>
    <n v="33.082700000000003"/>
    <n v="1289.8818283974333"/>
    <s v="Positive"/>
  </r>
  <r>
    <d v="2025-08-20T00:00:00"/>
    <x v="4"/>
    <s v="Brand Awareness"/>
    <n v="10804.74"/>
    <n v="108"/>
    <n v="38"/>
    <n v="146998.29"/>
    <n v="35.185200000000002"/>
    <n v="1260.4981702475027"/>
    <s v="Positive"/>
  </r>
  <r>
    <d v="2025-09-23T00:00:00"/>
    <x v="0"/>
    <s v="New Product Launch"/>
    <n v="14641.34"/>
    <n v="25"/>
    <n v="4"/>
    <n v="9509.44"/>
    <n v="16"/>
    <n v="-35.05075355124599"/>
    <s v="Negative"/>
  </r>
  <r>
    <d v="2025-11-26T00:00:00"/>
    <x v="1"/>
    <s v="Festival Offer"/>
    <n v="10817.01"/>
    <n v="189"/>
    <n v="45"/>
    <n v="251065.09"/>
    <n v="23.8095"/>
    <n v="2221.021150946518"/>
    <s v="Positive"/>
  </r>
  <r>
    <d v="2025-11-20T00:00:00"/>
    <x v="3"/>
    <s v="Retargeting Campaign"/>
    <n v="9679.6"/>
    <n v="130"/>
    <n v="44"/>
    <n v="118717.27"/>
    <n v="33.846200000000003"/>
    <n v="1126.4687590396297"/>
    <s v="Positive"/>
  </r>
  <r>
    <d v="2025-12-22T00:00:00"/>
    <x v="1"/>
    <s v="New Product Launch"/>
    <n v="1125.7"/>
    <n v="121"/>
    <n v="37"/>
    <n v="156356.87"/>
    <n v="30.578499999999998"/>
    <n v="13789.745935862129"/>
    <s v="Positive"/>
  </r>
  <r>
    <d v="2025-07-22T00:00:00"/>
    <x v="0"/>
    <s v="Retargeting Campaign"/>
    <n v="7502.35"/>
    <n v="104"/>
    <n v="32"/>
    <n v="180973.89"/>
    <n v="30.769200000000001"/>
    <n v="2312.229368131319"/>
    <s v="Positive"/>
  </r>
  <r>
    <d v="2025-03-12T00:00:00"/>
    <x v="0"/>
    <s v="Festival Offer"/>
    <n v="2081.4299999999998"/>
    <n v="204"/>
    <n v="3"/>
    <n v="10994.61"/>
    <n v="1.4705999999999999"/>
    <n v="428.22386532335946"/>
    <s v="Positive"/>
  </r>
  <r>
    <d v="2025-07-30T00:00:00"/>
    <x v="4"/>
    <s v="Festival Offer"/>
    <n v="14191.41"/>
    <n v="202"/>
    <n v="28"/>
    <n v="58647.39"/>
    <n v="13.8614"/>
    <n v="313.25978179758039"/>
    <s v="Positive"/>
  </r>
  <r>
    <d v="2025-03-24T00:00:00"/>
    <x v="0"/>
    <s v="New Product Launch"/>
    <n v="10131.129999999999"/>
    <n v="233"/>
    <n v="9"/>
    <n v="44802.95"/>
    <n v="3.8626999999999998"/>
    <n v="342.23053104638871"/>
    <s v="Positive"/>
  </r>
  <r>
    <d v="2025-03-25T00:00:00"/>
    <x v="3"/>
    <s v="New Product Launch"/>
    <n v="10330.33"/>
    <n v="127"/>
    <n v="14"/>
    <n v="34586.17"/>
    <n v="11.0236"/>
    <n v="234.80217960123247"/>
    <s v="Positive"/>
  </r>
  <r>
    <d v="2025-07-10T00:00:00"/>
    <x v="2"/>
    <s v="New Product Launch"/>
    <n v="14347.59"/>
    <n v="213"/>
    <n v="30"/>
    <n v="174441.31"/>
    <n v="14.0845"/>
    <n v="1115.8230755130305"/>
    <s v="Positive"/>
  </r>
  <r>
    <d v="2025-12-29T00:00:00"/>
    <x v="4"/>
    <s v="New Product Launch"/>
    <n v="13674.99"/>
    <n v="141"/>
    <n v="54"/>
    <n v="92151.15"/>
    <n v="38.297899999999998"/>
    <n v="573.86630630077229"/>
    <s v="Positive"/>
  </r>
  <r>
    <d v="2025-10-24T00:00:00"/>
    <x v="4"/>
    <s v="Brand Awareness"/>
    <n v="7159.28"/>
    <n v="95"/>
    <n v="32"/>
    <n v="115624.73"/>
    <n v="33.684199999999997"/>
    <n v="1515.0329362729212"/>
    <s v="Positive"/>
  </r>
  <r>
    <d v="2025-04-10T00:00:00"/>
    <x v="4"/>
    <s v="Lead Generation"/>
    <n v="4220.95"/>
    <n v="104"/>
    <n v="5"/>
    <n v="28627.89"/>
    <n v="4.8076999999999996"/>
    <n v="578.23333609732401"/>
    <s v="Positive"/>
  </r>
  <r>
    <d v="2025-03-24T00:00:00"/>
    <x v="1"/>
    <s v="Lead Generation"/>
    <n v="14675.42"/>
    <n v="143"/>
    <n v="38"/>
    <n v="143295.4"/>
    <n v="26.573399999999999"/>
    <n v="876.43133893271875"/>
    <s v="Positive"/>
  </r>
  <r>
    <d v="2025-10-01T00:00:00"/>
    <x v="4"/>
    <s v="New Product Launch"/>
    <n v="12359.18"/>
    <n v="195"/>
    <n v="78"/>
    <n v="385302.42"/>
    <n v="40"/>
    <n v="3017.5403222543887"/>
    <s v="Positive"/>
  </r>
  <r>
    <d v="2025-03-06T00:00:00"/>
    <x v="1"/>
    <s v="Retargeting Campaign"/>
    <n v="14425.27"/>
    <n v="36"/>
    <n v="8"/>
    <n v="36451.769999999997"/>
    <n v="22.222200000000001"/>
    <n v="152.69384905793788"/>
    <s v="Positive"/>
  </r>
  <r>
    <d v="2025-04-24T00:00:00"/>
    <x v="0"/>
    <s v="Festival Offer"/>
    <n v="13010.99"/>
    <n v="31"/>
    <n v="9"/>
    <n v="30028.13"/>
    <n v="29.032299999999999"/>
    <n v="130.79050863923499"/>
    <s v="Positive"/>
  </r>
  <r>
    <d v="2025-05-01T00:00:00"/>
    <x v="3"/>
    <s v="Retargeting Campaign"/>
    <n v="12099.97"/>
    <n v="155"/>
    <n v="1"/>
    <n v="2640.1"/>
    <n v="0.6452"/>
    <n v="-78.180937638688349"/>
    <s v="Negative"/>
  </r>
  <r>
    <d v="2025-08-06T00:00:00"/>
    <x v="0"/>
    <s v="Lead Generation"/>
    <n v="7123.82"/>
    <n v="84"/>
    <n v="30"/>
    <n v="58872.86"/>
    <n v="35.714300000000001"/>
    <n v="726.42262157101106"/>
    <s v="Positive"/>
  </r>
  <r>
    <d v="2025-09-02T00:00:00"/>
    <x v="2"/>
    <s v="Brand Awareness"/>
    <n v="8302.5400000000009"/>
    <n v="56"/>
    <n v="14"/>
    <n v="47145.87"/>
    <n v="25"/>
    <n v="467.84875471843554"/>
    <s v="Positive"/>
  </r>
  <r>
    <d v="2025-10-22T00:00:00"/>
    <x v="4"/>
    <s v="Brand Awareness"/>
    <n v="7111.69"/>
    <n v="110"/>
    <n v="2"/>
    <n v="10964.66"/>
    <n v="1.8182"/>
    <n v="54.177980198799446"/>
    <s v="Positive"/>
  </r>
  <r>
    <d v="2025-07-20T00:00:00"/>
    <x v="3"/>
    <s v="Brand Awareness"/>
    <n v="2033.69"/>
    <n v="107"/>
    <n v="5"/>
    <n v="22175.61"/>
    <n v="4.6729000000000003"/>
    <n v="990.41250141368641"/>
    <s v="Positive"/>
  </r>
  <r>
    <d v="2025-08-15T00:00:00"/>
    <x v="2"/>
    <s v="Retargeting Campaign"/>
    <n v="3705.5"/>
    <n v="202"/>
    <n v="43"/>
    <n v="72120.289999999994"/>
    <n v="21.287099999999999"/>
    <n v="1846.3038726217783"/>
    <s v="Positive"/>
  </r>
  <r>
    <d v="2025-07-23T00:00:00"/>
    <x v="0"/>
    <s v="Festival Offer"/>
    <n v="7464.07"/>
    <n v="182"/>
    <n v="10"/>
    <n v="24281.5"/>
    <n v="5.4945000000000004"/>
    <n v="225.31179369968396"/>
    <s v="Positive"/>
  </r>
  <r>
    <d v="2025-10-10T00:00:00"/>
    <x v="0"/>
    <s v="Festival Offer"/>
    <n v="2056.58"/>
    <n v="228"/>
    <n v="66"/>
    <n v="93701.42"/>
    <n v="28.947399999999998"/>
    <n v="4456.176759474467"/>
    <s v="Positive"/>
  </r>
  <r>
    <d v="2025-09-24T00:00:00"/>
    <x v="2"/>
    <s v="Brand Awareness"/>
    <n v="9034.56"/>
    <n v="233"/>
    <n v="79"/>
    <n v="419145.87"/>
    <n v="33.9056"/>
    <n v="4539.3611863776432"/>
    <s v="Positive"/>
  </r>
  <r>
    <d v="2025-02-25T00:00:00"/>
    <x v="2"/>
    <s v="New Product Launch"/>
    <n v="7077.21"/>
    <n v="191"/>
    <n v="27"/>
    <n v="70581.42"/>
    <n v="14.136100000000001"/>
    <n v="897.30571793121874"/>
    <s v="Positive"/>
  </r>
  <r>
    <d v="2025-06-24T00:00:00"/>
    <x v="0"/>
    <s v="New Product Launch"/>
    <n v="10218.36"/>
    <n v="213"/>
    <n v="2"/>
    <n v="5856.91"/>
    <n v="0.93899999999999995"/>
    <n v="-42.682485252036535"/>
    <s v="Negative"/>
  </r>
  <r>
    <d v="2025-09-13T00:00:00"/>
    <x v="1"/>
    <s v="Retargeting Campaign"/>
    <n v="10758.31"/>
    <n v="62"/>
    <n v="15"/>
    <n v="32287.57"/>
    <n v="24.1935"/>
    <n v="200.11749057240405"/>
    <s v="Positive"/>
  </r>
  <r>
    <d v="2025-12-19T00:00:00"/>
    <x v="2"/>
    <s v="Retargeting Campaign"/>
    <n v="13149.35"/>
    <n v="29"/>
    <n v="8"/>
    <n v="22513.66"/>
    <n v="27.586200000000002"/>
    <n v="71.215003022963103"/>
    <s v="Positive"/>
  </r>
  <r>
    <d v="2025-02-04T00:00:00"/>
    <x v="2"/>
    <s v="New Product Launch"/>
    <n v="4167.7299999999996"/>
    <n v="41"/>
    <n v="1"/>
    <n v="3397.39"/>
    <n v="2.4390000000000001"/>
    <n v="-18.483443025339927"/>
    <s v="Negative"/>
  </r>
  <r>
    <d v="2025-09-23T00:00:00"/>
    <x v="2"/>
    <s v="Brand Awareness"/>
    <n v="10198.08"/>
    <n v="31"/>
    <n v="7"/>
    <n v="14723.55"/>
    <n v="22.5806"/>
    <n v="44.375706015249925"/>
    <s v="Positive"/>
  </r>
  <r>
    <d v="2025-09-20T00:00:00"/>
    <x v="0"/>
    <s v="New Product Launch"/>
    <n v="14564.99"/>
    <n v="91"/>
    <n v="11"/>
    <n v="64153.9"/>
    <n v="12.087899999999999"/>
    <n v="340.46648847682013"/>
    <s v="Positive"/>
  </r>
  <r>
    <d v="2025-02-07T00:00:00"/>
    <x v="3"/>
    <s v="Lead Generation"/>
    <n v="9702.74"/>
    <n v="231"/>
    <n v="20"/>
    <n v="84227.56"/>
    <n v="8.6579999999999995"/>
    <n v="768.08015055541"/>
    <s v="Positive"/>
  </r>
  <r>
    <d v="2025-05-25T00:00:00"/>
    <x v="0"/>
    <s v="Festival Offer"/>
    <n v="5060.1499999999996"/>
    <n v="161"/>
    <n v="37"/>
    <n v="184034.12"/>
    <n v="22.981400000000001"/>
    <n v="3536.9301305297276"/>
    <s v="Positive"/>
  </r>
  <r>
    <d v="2025-10-19T00:00:00"/>
    <x v="2"/>
    <s v="Retargeting Campaign"/>
    <n v="1908.57"/>
    <n v="185"/>
    <n v="29"/>
    <n v="79260.52"/>
    <n v="15.675700000000001"/>
    <n v="4052.8746653253484"/>
    <s v="Positive"/>
  </r>
  <r>
    <d v="2025-03-06T00:00:00"/>
    <x v="2"/>
    <s v="Brand Awareness"/>
    <n v="7556.37"/>
    <n v="145"/>
    <n v="44"/>
    <n v="252515.42"/>
    <n v="30.344799999999999"/>
    <n v="3241.7556313415039"/>
    <s v="Positive"/>
  </r>
  <r>
    <d v="2025-01-01T00:00:00"/>
    <x v="1"/>
    <s v="Lead Generation"/>
    <n v="3312.85"/>
    <n v="160"/>
    <n v="38"/>
    <n v="190682.9"/>
    <n v="23.75"/>
    <n v="5655.8567396652425"/>
    <s v="Positive"/>
  </r>
  <r>
    <d v="2025-06-07T00:00:00"/>
    <x v="1"/>
    <s v="Brand Awareness"/>
    <n v="3187.39"/>
    <n v="77"/>
    <n v="4"/>
    <n v="18523.43"/>
    <n v="5.1947999999999999"/>
    <n v="481.14727096464509"/>
    <s v="Positive"/>
  </r>
  <r>
    <d v="2025-01-15T00:00:00"/>
    <x v="1"/>
    <s v="Festival Offer"/>
    <n v="8535.59"/>
    <n v="162"/>
    <n v="54"/>
    <n v="272597.43"/>
    <n v="33.333300000000001"/>
    <n v="3093.656560354937"/>
    <s v="Positive"/>
  </r>
  <r>
    <d v="2025-05-08T00:00:00"/>
    <x v="3"/>
    <s v="New Product Launch"/>
    <n v="13783.29"/>
    <n v="160"/>
    <n v="31"/>
    <n v="75369.77"/>
    <n v="19.375"/>
    <n v="446.81988117495894"/>
    <s v="Positive"/>
  </r>
  <r>
    <d v="2025-09-01T00:00:00"/>
    <x v="1"/>
    <s v="New Product Launch"/>
    <n v="5909.17"/>
    <n v="35"/>
    <n v="5"/>
    <n v="16709.849999999999"/>
    <n v="14.2857"/>
    <n v="182.77829204439877"/>
    <s v="Positive"/>
  </r>
  <r>
    <d v="2025-11-16T00:00:00"/>
    <x v="4"/>
    <s v="Festival Offer"/>
    <n v="7542.77"/>
    <n v="49"/>
    <n v="18"/>
    <n v="100388.87"/>
    <n v="36.734699999999997"/>
    <n v="1230.9284254988549"/>
    <s v="Positive"/>
  </r>
  <r>
    <d v="2025-07-09T00:00:00"/>
    <x v="4"/>
    <s v="Festival Offer"/>
    <n v="12022.8"/>
    <n v="37"/>
    <n v="2"/>
    <n v="9579.65"/>
    <n v="5.4054000000000002"/>
    <n v="-20.320973483714276"/>
    <s v="Negative"/>
  </r>
  <r>
    <d v="2025-10-19T00:00:00"/>
    <x v="3"/>
    <s v="New Product Launch"/>
    <n v="1699.75"/>
    <n v="45"/>
    <n v="18"/>
    <n v="74617.08"/>
    <n v="40"/>
    <n v="4289.8855714075598"/>
    <s v="Positive"/>
  </r>
  <r>
    <d v="2025-11-10T00:00:00"/>
    <x v="2"/>
    <s v="Retargeting Campaign"/>
    <n v="3764.36"/>
    <n v="79"/>
    <n v="9"/>
    <n v="40741.199999999997"/>
    <n v="11.3924"/>
    <n v="982.28756016959051"/>
    <s v="Positive"/>
  </r>
  <r>
    <d v="2025-11-08T00:00:00"/>
    <x v="2"/>
    <s v="Retargeting Campaign"/>
    <n v="12061.05"/>
    <n v="124"/>
    <n v="18"/>
    <n v="59799.69"/>
    <n v="14.5161"/>
    <n v="395.80832514582067"/>
    <s v="Positive"/>
  </r>
  <r>
    <d v="2025-01-14T00:00:00"/>
    <x v="1"/>
    <s v="Brand Awareness"/>
    <n v="5614.26"/>
    <n v="99"/>
    <n v="1"/>
    <n v="3385.22"/>
    <n v="1.0101"/>
    <n v="-39.703184391175334"/>
    <s v="Negative"/>
  </r>
  <r>
    <d v="2025-10-15T00:00:00"/>
    <x v="0"/>
    <s v="New Product Launch"/>
    <n v="13055.25"/>
    <n v="121"/>
    <n v="13"/>
    <n v="22587.54"/>
    <n v="10.7438"/>
    <n v="73.014993967943937"/>
    <s v="Positive"/>
  </r>
  <r>
    <d v="2025-10-04T00:00:00"/>
    <x v="4"/>
    <s v="New Product Launch"/>
    <n v="1553.02"/>
    <n v="136"/>
    <n v="33"/>
    <n v="179943.89"/>
    <n v="24.264700000000001"/>
    <n v="11486.707833769045"/>
    <s v="Positive"/>
  </r>
  <r>
    <d v="2025-12-02T00:00:00"/>
    <x v="1"/>
    <s v="Brand Awareness"/>
    <n v="6659.36"/>
    <n v="209"/>
    <n v="24"/>
    <n v="111276.32"/>
    <n v="11.4833"/>
    <n v="1570.9761899041353"/>
    <s v="Positive"/>
  </r>
  <r>
    <d v="2025-05-18T00:00:00"/>
    <x v="1"/>
    <s v="Brand Awareness"/>
    <n v="2490.4499999999998"/>
    <n v="94"/>
    <n v="26"/>
    <n v="69981.59"/>
    <n v="27.659600000000001"/>
    <n v="2709.9977915637737"/>
    <s v="Positive"/>
  </r>
  <r>
    <d v="2025-12-31T00:00:00"/>
    <x v="2"/>
    <s v="Festival Offer"/>
    <n v="5879.31"/>
    <n v="114"/>
    <n v="15"/>
    <n v="23885.32"/>
    <n v="13.1579"/>
    <n v="306.26059860765969"/>
    <s v="Positive"/>
  </r>
  <r>
    <d v="2025-01-11T00:00:00"/>
    <x v="0"/>
    <s v="New Product Launch"/>
    <n v="6565.97"/>
    <n v="208"/>
    <n v="45"/>
    <n v="82829.81"/>
    <n v="21.634599999999999"/>
    <n v="1161.5014993976517"/>
    <s v="Positive"/>
  </r>
  <r>
    <d v="2025-07-15T00:00:00"/>
    <x v="1"/>
    <s v="Retargeting Campaign"/>
    <n v="4399.6899999999996"/>
    <n v="118"/>
    <n v="40"/>
    <n v="114366.14"/>
    <n v="33.898299999999999"/>
    <n v="2499.4135950487421"/>
    <s v="Positive"/>
  </r>
  <r>
    <d v="2025-02-07T00:00:00"/>
    <x v="0"/>
    <s v="Brand Awareness"/>
    <n v="7552.37"/>
    <n v="238"/>
    <n v="76"/>
    <n v="408788.5"/>
    <n v="31.9328"/>
    <n v="5312.7181268926179"/>
    <s v="Positive"/>
  </r>
  <r>
    <d v="2025-12-19T00:00:00"/>
    <x v="4"/>
    <s v="Brand Awareness"/>
    <n v="12069.67"/>
    <n v="80"/>
    <n v="15"/>
    <n v="62089.2"/>
    <n v="18.75"/>
    <n v="414.42334380310319"/>
    <s v="Positive"/>
  </r>
  <r>
    <d v="2025-10-17T00:00:00"/>
    <x v="0"/>
    <s v="Lead Generation"/>
    <n v="14001.69"/>
    <n v="80"/>
    <n v="22"/>
    <n v="38377.86"/>
    <n v="27.5"/>
    <n v="174.09448430867985"/>
    <s v="Positive"/>
  </r>
  <r>
    <d v="2025-05-12T00:00:00"/>
    <x v="4"/>
    <s v="Retargeting Campaign"/>
    <n v="6651.98"/>
    <n v="211"/>
    <n v="52"/>
    <n v="156171.26"/>
    <n v="24.644500000000001"/>
    <n v="2247.7409733643217"/>
    <s v="Positive"/>
  </r>
  <r>
    <d v="2025-07-28T00:00:00"/>
    <x v="4"/>
    <s v="Festival Offer"/>
    <n v="7607.02"/>
    <n v="109"/>
    <n v="43"/>
    <n v="109010.78"/>
    <n v="39.4495"/>
    <n v="1333.0287024353818"/>
    <s v="Positive"/>
  </r>
  <r>
    <d v="2025-02-04T00:00:00"/>
    <x v="3"/>
    <s v="Brand Awareness"/>
    <n v="14345.36"/>
    <n v="21"/>
    <n v="3"/>
    <n v="8049.82"/>
    <n v="14.2857"/>
    <n v="-43.885549055583134"/>
    <s v="Negative"/>
  </r>
  <r>
    <d v="2025-09-18T00:00:00"/>
    <x v="3"/>
    <s v="Retargeting Campaign"/>
    <n v="10689.31"/>
    <n v="104"/>
    <n v="24"/>
    <n v="138102.76999999999"/>
    <n v="23.076899999999998"/>
    <n v="1191.9708568654103"/>
    <s v="Positive"/>
  </r>
  <r>
    <d v="2025-10-04T00:00:00"/>
    <x v="1"/>
    <s v="Brand Awareness"/>
    <n v="1444.66"/>
    <n v="93"/>
    <n v="17"/>
    <n v="77665.570000000007"/>
    <n v="18.279599999999999"/>
    <n v="5276.044882532914"/>
    <s v="Positive"/>
  </r>
  <r>
    <d v="2025-11-25T00:00:00"/>
    <x v="3"/>
    <s v="Brand Awareness"/>
    <n v="14680.19"/>
    <n v="217"/>
    <n v="66"/>
    <n v="216323.09"/>
    <n v="30.4147"/>
    <n v="1373.5714592249828"/>
    <s v="Positive"/>
  </r>
  <r>
    <d v="2025-08-08T00:00:00"/>
    <x v="0"/>
    <s v="Festival Offer"/>
    <n v="12563.49"/>
    <n v="118"/>
    <n v="42"/>
    <n v="201805.35"/>
    <n v="35.593200000000003"/>
    <n v="1506.2841614869756"/>
    <s v="Positive"/>
  </r>
  <r>
    <d v="2025-12-10T00:00:00"/>
    <x v="0"/>
    <s v="Lead Generation"/>
    <n v="6947.01"/>
    <n v="98"/>
    <n v="19"/>
    <n v="67990.61"/>
    <n v="19.387799999999999"/>
    <n v="878.70321188540095"/>
    <s v="Positive"/>
  </r>
  <r>
    <d v="2025-01-25T00:00:00"/>
    <x v="1"/>
    <s v="New Product Launch"/>
    <n v="8924.02"/>
    <n v="22"/>
    <n v="5"/>
    <n v="5366.33"/>
    <n v="22.7273"/>
    <n v="-39.866450321716002"/>
    <s v="Negative"/>
  </r>
  <r>
    <d v="2025-04-13T00:00:00"/>
    <x v="4"/>
    <s v="Festival Offer"/>
    <n v="4785.92"/>
    <n v="113"/>
    <n v="16"/>
    <n v="47235.839999999997"/>
    <n v="14.1593"/>
    <n v="886.97512703931523"/>
    <s v="Positive"/>
  </r>
  <r>
    <d v="2025-01-09T00:00:00"/>
    <x v="2"/>
    <s v="Retargeting Campaign"/>
    <n v="12637.32"/>
    <n v="120"/>
    <n v="37"/>
    <n v="66100.84"/>
    <n v="30.833300000000001"/>
    <n v="423.0605856304976"/>
    <s v="Positive"/>
  </r>
  <r>
    <d v="2025-03-28T00:00:00"/>
    <x v="0"/>
    <s v="Retargeting Campaign"/>
    <n v="10272.9"/>
    <n v="208"/>
    <n v="6"/>
    <n v="9801.7800000000007"/>
    <n v="2.8845999999999998"/>
    <n v="-4.5860467832841652"/>
    <s v="Negative"/>
  </r>
  <r>
    <d v="2025-11-16T00:00:00"/>
    <x v="4"/>
    <s v="New Product Launch"/>
    <n v="9030.99"/>
    <n v="145"/>
    <n v="6"/>
    <n v="14681.42"/>
    <n v="4.1379000000000001"/>
    <n v="62.567116119052294"/>
    <s v="Positive"/>
  </r>
  <r>
    <d v="2025-09-17T00:00:00"/>
    <x v="1"/>
    <s v="Retargeting Campaign"/>
    <n v="10512.95"/>
    <n v="45"/>
    <n v="7"/>
    <n v="38886.019999999997"/>
    <n v="15.5556"/>
    <n v="269.88685383265391"/>
    <s v="Positive"/>
  </r>
  <r>
    <d v="2025-01-02T00:00:00"/>
    <x v="4"/>
    <s v="Lead Generation"/>
    <n v="5060.45"/>
    <n v="208"/>
    <n v="64"/>
    <n v="370607.09"/>
    <n v="30.769200000000001"/>
    <n v="7223.599482259483"/>
    <s v="Positive"/>
  </r>
  <r>
    <d v="2025-07-07T00:00:00"/>
    <x v="3"/>
    <s v="Festival Offer"/>
    <n v="1380.42"/>
    <n v="72"/>
    <n v="15"/>
    <n v="86690.65"/>
    <n v="20.833300000000001"/>
    <n v="6180.0198490314533"/>
    <s v="Positive"/>
  </r>
  <r>
    <d v="2025-06-10T00:00:00"/>
    <x v="4"/>
    <s v="Lead Generation"/>
    <n v="3210.75"/>
    <n v="148"/>
    <n v="41"/>
    <n v="42123.19"/>
    <n v="27.7027"/>
    <n v="1211.9423810636144"/>
    <s v="Positive"/>
  </r>
  <r>
    <d v="2025-02-23T00:00:00"/>
    <x v="3"/>
    <s v="Festival Offer"/>
    <n v="14011.23"/>
    <n v="228"/>
    <n v="24"/>
    <n v="95391.97"/>
    <n v="10.526300000000001"/>
    <n v="580.82509529855702"/>
    <s v="Positive"/>
  </r>
  <r>
    <d v="2025-12-21T00:00:00"/>
    <x v="2"/>
    <s v="Brand Awareness"/>
    <n v="11761.24"/>
    <n v="162"/>
    <n v="21"/>
    <n v="48455.75"/>
    <n v="12.962999999999999"/>
    <n v="311.99524880029662"/>
    <s v="Positive"/>
  </r>
  <r>
    <d v="2025-09-12T00:00:00"/>
    <x v="1"/>
    <s v="Lead Generation"/>
    <n v="8096.66"/>
    <n v="226"/>
    <n v="58"/>
    <n v="86573.57"/>
    <n v="25.663699999999999"/>
    <n v="969.25040695793086"/>
    <s v="Positive"/>
  </r>
  <r>
    <d v="2025-06-03T00:00:00"/>
    <x v="1"/>
    <s v="New Product Launch"/>
    <n v="12966.34"/>
    <n v="52"/>
    <n v="9"/>
    <n v="25910.799999999999"/>
    <n v="17.307700000000001"/>
    <n v="99.831255388953238"/>
    <s v="Positive"/>
  </r>
  <r>
    <d v="2025-03-08T00:00:00"/>
    <x v="2"/>
    <s v="Festival Offer"/>
    <n v="1667.18"/>
    <n v="68"/>
    <n v="26"/>
    <n v="148650.53"/>
    <n v="38.235300000000002"/>
    <n v="8816.2855840401153"/>
    <s v="Positive"/>
  </r>
  <r>
    <d v="2025-07-07T00:00:00"/>
    <x v="1"/>
    <s v="Lead Generation"/>
    <n v="6476.14"/>
    <n v="188"/>
    <n v="24"/>
    <n v="116178.61"/>
    <n v="12.766"/>
    <n v="1693.9484013625399"/>
    <s v="Positive"/>
  </r>
  <r>
    <d v="2025-05-17T00:00:00"/>
    <x v="1"/>
    <s v="Brand Awareness"/>
    <n v="8284.81"/>
    <n v="93"/>
    <n v="31"/>
    <n v="106444.94"/>
    <n v="33.333300000000001"/>
    <n v="1184.8205329995499"/>
    <s v="Positive"/>
  </r>
  <r>
    <d v="2025-04-08T00:00:00"/>
    <x v="3"/>
    <s v="Brand Awareness"/>
    <n v="4232.68"/>
    <n v="104"/>
    <n v="35"/>
    <n v="102831.01"/>
    <n v="33.653799999999997"/>
    <n v="2329.4539157224262"/>
    <s v="Positive"/>
  </r>
  <r>
    <d v="2025-10-27T00:00:00"/>
    <x v="2"/>
    <s v="Brand Awareness"/>
    <n v="8405.7999999999993"/>
    <n v="220"/>
    <n v="23"/>
    <n v="72764.070000000007"/>
    <n v="10.454499999999999"/>
    <n v="765.6412239168194"/>
    <s v="Positive"/>
  </r>
  <r>
    <d v="2025-11-27T00:00:00"/>
    <x v="4"/>
    <s v="Festival Offer"/>
    <n v="10735.14"/>
    <n v="48"/>
    <n v="6"/>
    <n v="13959.52"/>
    <n v="12.5"/>
    <n v="30.035751746134672"/>
    <s v="Positive"/>
  </r>
  <r>
    <d v="2025-08-30T00:00:00"/>
    <x v="2"/>
    <s v="Retargeting Campaign"/>
    <n v="14633.75"/>
    <n v="113"/>
    <n v="43"/>
    <n v="228627.78"/>
    <n v="38.053100000000001"/>
    <n v="1462.3321431622105"/>
    <s v="Positive"/>
  </r>
  <r>
    <d v="2025-12-09T00:00:00"/>
    <x v="1"/>
    <s v="New Product Launch"/>
    <n v="3430.41"/>
    <n v="64"/>
    <n v="2"/>
    <n v="4584.8999999999996"/>
    <n v="3.125"/>
    <n v="33.654577732690839"/>
    <s v="Positive"/>
  </r>
  <r>
    <d v="2025-09-01T00:00:00"/>
    <x v="0"/>
    <s v="Lead Generation"/>
    <n v="7339.7"/>
    <n v="107"/>
    <n v="37"/>
    <n v="177873.03"/>
    <n v="34.5794"/>
    <n v="2323.4373339509789"/>
    <s v="Positive"/>
  </r>
  <r>
    <d v="2025-11-24T00:00:00"/>
    <x v="0"/>
    <s v="Lead Generation"/>
    <n v="13959.89"/>
    <n v="77"/>
    <n v="28"/>
    <n v="154738.95000000001"/>
    <n v="36.363599999999998"/>
    <n v="1008.453934808942"/>
    <s v="Positive"/>
  </r>
  <r>
    <d v="2025-07-03T00:00:00"/>
    <x v="1"/>
    <s v="New Product Launch"/>
    <n v="9499.7099999999991"/>
    <n v="220"/>
    <n v="11"/>
    <n v="62973.33"/>
    <n v="5"/>
    <n v="562.89739370991333"/>
    <s v="Positive"/>
  </r>
  <r>
    <d v="2025-09-05T00:00:00"/>
    <x v="3"/>
    <s v="Retargeting Campaign"/>
    <n v="4810.6899999999996"/>
    <n v="102"/>
    <n v="38"/>
    <n v="184548.28"/>
    <n v="37.254899999999999"/>
    <n v="3736.2122689260796"/>
    <s v="Positive"/>
  </r>
  <r>
    <d v="2025-06-25T00:00:00"/>
    <x v="1"/>
    <s v="Lead Generation"/>
    <n v="13174.49"/>
    <n v="83"/>
    <n v="13"/>
    <n v="30223.63"/>
    <n v="15.662699999999999"/>
    <n v="129.4102466205523"/>
    <s v="Positive"/>
  </r>
  <r>
    <d v="2025-11-20T00:00:00"/>
    <x v="0"/>
    <s v="Retargeting Campaign"/>
    <n v="4916.1000000000004"/>
    <n v="119"/>
    <n v="8"/>
    <n v="45957.8"/>
    <n v="6.7226999999999997"/>
    <n v="834.84265983198065"/>
    <s v="Positive"/>
  </r>
  <r>
    <d v="2025-11-07T00:00:00"/>
    <x v="2"/>
    <s v="Lead Generation"/>
    <n v="3171.47"/>
    <n v="210"/>
    <n v="50"/>
    <n v="158017.19"/>
    <n v="23.8095"/>
    <n v="4882.4589228338918"/>
    <s v="Positive"/>
  </r>
  <r>
    <d v="2025-06-01T00:00:00"/>
    <x v="2"/>
    <s v="Retargeting Campaign"/>
    <n v="11745.37"/>
    <n v="146"/>
    <n v="13"/>
    <n v="27305.71"/>
    <n v="8.9040999999999997"/>
    <n v="132.48062853703203"/>
    <s v="Positive"/>
  </r>
  <r>
    <d v="2025-01-09T00:00:00"/>
    <x v="4"/>
    <s v="Retargeting Campaign"/>
    <n v="3702.83"/>
    <n v="70"/>
    <n v="19"/>
    <n v="50853.74"/>
    <n v="27.142900000000001"/>
    <n v="1273.374959152864"/>
    <s v="Positive"/>
  </r>
  <r>
    <d v="2025-05-14T00:00:00"/>
    <x v="3"/>
    <s v="Lead Generation"/>
    <n v="7323.57"/>
    <n v="66"/>
    <n v="8"/>
    <n v="33963.160000000003"/>
    <n v="12.1212"/>
    <n v="363.75142177926892"/>
    <s v="Positive"/>
  </r>
  <r>
    <d v="2025-05-27T00:00:00"/>
    <x v="1"/>
    <s v="Lead Generation"/>
    <n v="14669.08"/>
    <n v="80"/>
    <n v="13"/>
    <n v="54725.4"/>
    <n v="16.25"/>
    <n v="273.06634090208792"/>
    <s v="Positive"/>
  </r>
  <r>
    <d v="2025-09-26T00:00:00"/>
    <x v="4"/>
    <s v="Retargeting Campaign"/>
    <n v="7754.27"/>
    <n v="102"/>
    <n v="36"/>
    <n v="146614.5"/>
    <n v="35.2941"/>
    <n v="1790.7582531946914"/>
    <s v="Positive"/>
  </r>
  <r>
    <d v="2025-12-21T00:00:00"/>
    <x v="4"/>
    <s v="Brand Awareness"/>
    <n v="8875.85"/>
    <n v="95"/>
    <n v="7"/>
    <n v="33514.99"/>
    <n v="7.3684000000000003"/>
    <n v="277.59752587076167"/>
    <s v="Positive"/>
  </r>
  <r>
    <d v="2025-08-25T00:00:00"/>
    <x v="2"/>
    <s v="Retargeting Campaign"/>
    <n v="9506.52"/>
    <n v="178"/>
    <n v="60"/>
    <n v="210027.77"/>
    <n v="33.707900000000002"/>
    <n v="2109.3023524907112"/>
    <s v="Positive"/>
  </r>
  <r>
    <d v="2025-07-23T00:00:00"/>
    <x v="1"/>
    <s v="Lead Generation"/>
    <n v="9183.44"/>
    <n v="122"/>
    <n v="31"/>
    <n v="58563.95"/>
    <n v="25.409800000000001"/>
    <n v="537.71255651476997"/>
    <s v="Positive"/>
  </r>
  <r>
    <d v="2025-03-07T00:00:00"/>
    <x v="1"/>
    <s v="Lead Generation"/>
    <n v="12614.94"/>
    <n v="246"/>
    <n v="38"/>
    <n v="39043.980000000003"/>
    <n v="15.4472"/>
    <n v="209.50587160937744"/>
    <s v="Positive"/>
  </r>
  <r>
    <d v="2025-11-16T00:00:00"/>
    <x v="2"/>
    <s v="New Product Launch"/>
    <n v="12603.99"/>
    <n v="198"/>
    <n v="23"/>
    <n v="123403.03"/>
    <n v="11.616199999999999"/>
    <n v="879.07908527379027"/>
    <s v="Positive"/>
  </r>
  <r>
    <d v="2025-01-04T00:00:00"/>
    <x v="0"/>
    <s v="New Product Launch"/>
    <n v="14918.05"/>
    <n v="61"/>
    <n v="21"/>
    <n v="53221.54"/>
    <n v="34.426200000000001"/>
    <n v="256.75936198095599"/>
    <s v="Positive"/>
  </r>
  <r>
    <d v="2025-02-15T00:00:00"/>
    <x v="0"/>
    <s v="Retargeting Campaign"/>
    <n v="11256.45"/>
    <n v="74"/>
    <n v="11"/>
    <n v="50123"/>
    <n v="14.8649"/>
    <n v="345.28248248781807"/>
    <s v="Positive"/>
  </r>
  <r>
    <d v="2025-11-23T00:00:00"/>
    <x v="0"/>
    <s v="Brand Awareness"/>
    <n v="12860.1"/>
    <n v="168"/>
    <n v="37"/>
    <n v="173955.58"/>
    <n v="22.023800000000001"/>
    <n v="1252.676728796821"/>
    <s v="Positive"/>
  </r>
  <r>
    <d v="2025-11-16T00:00:00"/>
    <x v="2"/>
    <s v="Brand Awareness"/>
    <n v="4660.42"/>
    <n v="250"/>
    <n v="57"/>
    <n v="173364.83"/>
    <n v="22.8"/>
    <n v="3619.9400483218242"/>
    <s v="Positive"/>
  </r>
  <r>
    <d v="2025-09-23T00:00:00"/>
    <x v="2"/>
    <s v="Brand Awareness"/>
    <n v="6955.35"/>
    <n v="128"/>
    <n v="32"/>
    <n v="122422.76"/>
    <n v="25"/>
    <n v="1660.1236458265937"/>
    <s v="Positive"/>
  </r>
  <r>
    <d v="2025-03-24T00:00:00"/>
    <x v="3"/>
    <s v="New Product Launch"/>
    <n v="7234.09"/>
    <n v="195"/>
    <n v="10"/>
    <n v="36532.01"/>
    <n v="5.1281999999999996"/>
    <n v="404.99800251310114"/>
    <s v="Positive"/>
  </r>
  <r>
    <d v="2025-01-13T00:00:00"/>
    <x v="1"/>
    <s v="New Product Launch"/>
    <n v="4165.7700000000004"/>
    <n v="178"/>
    <n v="30"/>
    <n v="136663.19"/>
    <n v="16.853899999999999"/>
    <n v="3180.6225499727543"/>
    <s v="Positive"/>
  </r>
  <r>
    <d v="2025-09-11T00:00:00"/>
    <x v="1"/>
    <s v="Festival Offer"/>
    <n v="11712.34"/>
    <n v="38"/>
    <n v="5"/>
    <n v="10974.73"/>
    <n v="13.1579"/>
    <n v="-6.2977167671020533"/>
    <s v="Negative"/>
  </r>
  <r>
    <d v="2025-09-11T00:00:00"/>
    <x v="2"/>
    <s v="Brand Awareness"/>
    <n v="13090.53"/>
    <n v="202"/>
    <n v="16"/>
    <n v="56544.52"/>
    <n v="7.9207999999999998"/>
    <n v="331.94981410225557"/>
    <s v="Positive"/>
  </r>
  <r>
    <d v="2025-03-14T00:00:00"/>
    <x v="1"/>
    <s v="Festival Offer"/>
    <n v="12580.95"/>
    <n v="219"/>
    <n v="82"/>
    <n v="379383.14"/>
    <n v="37.442900000000002"/>
    <n v="2915.5365055898001"/>
    <s v="Positive"/>
  </r>
  <r>
    <d v="2025-05-05T00:00:00"/>
    <x v="3"/>
    <s v="Brand Awareness"/>
    <n v="3402.72"/>
    <n v="150"/>
    <n v="36"/>
    <n v="69044.210000000006"/>
    <n v="24"/>
    <n v="1929.0887877932948"/>
    <s v="Positive"/>
  </r>
  <r>
    <d v="2025-04-09T00:00:00"/>
    <x v="4"/>
    <s v="Festival Offer"/>
    <n v="7311.28"/>
    <n v="37"/>
    <n v="14"/>
    <n v="74453.11"/>
    <n v="37.837800000000001"/>
    <n v="918.33208412206898"/>
    <s v="Positive"/>
  </r>
  <r>
    <d v="2025-06-14T00:00:00"/>
    <x v="3"/>
    <s v="Festival Offer"/>
    <n v="4727.2700000000004"/>
    <n v="83"/>
    <n v="25"/>
    <n v="33774.97"/>
    <n v="30.1205"/>
    <n v="614.4709314255374"/>
    <s v="Positive"/>
  </r>
  <r>
    <d v="2025-01-04T00:00:00"/>
    <x v="2"/>
    <s v="Brand Awareness"/>
    <n v="2240"/>
    <n v="188"/>
    <n v="49"/>
    <n v="274179.09000000003"/>
    <n v="26.063800000000001"/>
    <n v="12140.137946428573"/>
    <s v="Positive"/>
  </r>
  <r>
    <d v="2025-09-16T00:00:00"/>
    <x v="1"/>
    <s v="Lead Generation"/>
    <n v="6088.48"/>
    <n v="235"/>
    <n v="43"/>
    <n v="84849.16"/>
    <n v="18.297899999999998"/>
    <n v="1293.6016871205952"/>
    <s v="Positive"/>
  </r>
  <r>
    <d v="2025-10-19T00:00:00"/>
    <x v="4"/>
    <s v="New Product Launch"/>
    <n v="8797.43"/>
    <n v="49"/>
    <n v="1"/>
    <n v="1344.71"/>
    <n v="2.0407999999999999"/>
    <n v="-84.714740554912055"/>
    <s v="Negative"/>
  </r>
  <r>
    <d v="2025-07-29T00:00:00"/>
    <x v="1"/>
    <s v="Retargeting Campaign"/>
    <n v="10495.44"/>
    <n v="195"/>
    <n v="9"/>
    <n v="44960.84"/>
    <n v="4.6154000000000002"/>
    <n v="328.38451746663304"/>
    <s v="Positive"/>
  </r>
  <r>
    <d v="2025-07-04T00:00:00"/>
    <x v="0"/>
    <s v="Retargeting Campaign"/>
    <n v="13771.07"/>
    <n v="232"/>
    <n v="76"/>
    <n v="107776.26"/>
    <n v="32.758600000000001"/>
    <n v="682.62807465215133"/>
    <s v="Positive"/>
  </r>
  <r>
    <d v="2025-02-08T00:00:00"/>
    <x v="4"/>
    <s v="Festival Offer"/>
    <n v="6820.52"/>
    <n v="140"/>
    <n v="41"/>
    <n v="183495.39"/>
    <n v="29.285699999999999"/>
    <n v="2590.3431116689053"/>
    <s v="Positive"/>
  </r>
  <r>
    <d v="2025-07-17T00:00:00"/>
    <x v="0"/>
    <s v="Lead Generation"/>
    <n v="13679.63"/>
    <n v="57"/>
    <n v="14"/>
    <n v="76704.14"/>
    <n v="24.561399999999999"/>
    <n v="460.71794339466788"/>
    <s v="Positive"/>
  </r>
  <r>
    <d v="2025-03-10T00:00:00"/>
    <x v="0"/>
    <s v="New Product Launch"/>
    <n v="12869.2"/>
    <n v="103"/>
    <n v="28"/>
    <n v="76793.990000000005"/>
    <n v="27.1845"/>
    <n v="496.72699157678801"/>
    <s v="Positive"/>
  </r>
  <r>
    <d v="2025-07-31T00:00:00"/>
    <x v="2"/>
    <s v="New Product Launch"/>
    <n v="8715.43"/>
    <n v="240"/>
    <n v="85"/>
    <n v="397820.64"/>
    <n v="35.416699999999999"/>
    <n v="4464.5555067277228"/>
    <s v="Positive"/>
  </r>
  <r>
    <d v="2025-06-20T00:00:00"/>
    <x v="3"/>
    <s v="Brand Awareness"/>
    <n v="12881.55"/>
    <n v="45"/>
    <n v="7"/>
    <n v="20637.59"/>
    <n v="15.5556"/>
    <n v="60.210456039839933"/>
    <s v="Positive"/>
  </r>
  <r>
    <d v="2025-12-14T00:00:00"/>
    <x v="1"/>
    <s v="New Product Launch"/>
    <n v="1179.3399999999999"/>
    <n v="76"/>
    <n v="14"/>
    <n v="37030.6"/>
    <n v="18.421099999999999"/>
    <n v="3039.9426798039585"/>
    <s v="Positive"/>
  </r>
  <r>
    <d v="2025-11-01T00:00:00"/>
    <x v="4"/>
    <s v="Brand Awareness"/>
    <n v="4336.03"/>
    <n v="194"/>
    <n v="41"/>
    <n v="146332.25"/>
    <n v="21.134"/>
    <n v="3274.7979142210729"/>
    <s v="Positive"/>
  </r>
  <r>
    <d v="2025-10-07T00:00:00"/>
    <x v="0"/>
    <s v="Lead Generation"/>
    <n v="9940.3799999999992"/>
    <n v="149"/>
    <n v="55"/>
    <n v="198989.98"/>
    <n v="36.912799999999997"/>
    <n v="1901.8347387122024"/>
    <s v="Positive"/>
  </r>
  <r>
    <d v="2025-06-08T00:00:00"/>
    <x v="0"/>
    <s v="Lead Generation"/>
    <n v="8012.52"/>
    <n v="249"/>
    <n v="95"/>
    <n v="438156.22"/>
    <n v="38.1526"/>
    <n v="5368.3947122752879"/>
    <s v="Positive"/>
  </r>
  <r>
    <d v="2025-09-11T00:00:00"/>
    <x v="2"/>
    <s v="New Product Launch"/>
    <n v="13477.24"/>
    <n v="102"/>
    <n v="18"/>
    <n v="36147.870000000003"/>
    <n v="17.647099999999998"/>
    <n v="168.21418925536688"/>
    <s v="Positive"/>
  </r>
  <r>
    <d v="2025-12-24T00:00:00"/>
    <x v="1"/>
    <s v="Lead Generation"/>
    <n v="11708.84"/>
    <n v="76"/>
    <n v="26"/>
    <n v="85651.45"/>
    <n v="34.210500000000003"/>
    <n v="631.5109780302746"/>
    <s v="Positive"/>
  </r>
  <r>
    <d v="2025-06-21T00:00:00"/>
    <x v="4"/>
    <s v="Retargeting Campaign"/>
    <n v="6770.34"/>
    <n v="185"/>
    <n v="52"/>
    <n v="180774.31"/>
    <n v="28.1081"/>
    <n v="2570.0920485529527"/>
    <s v="Positive"/>
  </r>
  <r>
    <d v="2025-01-22T00:00:00"/>
    <x v="4"/>
    <s v="Retargeting Campaign"/>
    <n v="10313.299999999999"/>
    <n v="193"/>
    <n v="28"/>
    <n v="46795.6"/>
    <n v="14.5078"/>
    <n v="353.74031590276638"/>
    <s v="Positive"/>
  </r>
  <r>
    <d v="2025-07-12T00:00:00"/>
    <x v="0"/>
    <s v="Retargeting Campaign"/>
    <n v="9840.0400000000009"/>
    <n v="121"/>
    <n v="3"/>
    <n v="11173.5"/>
    <n v="2.4792999999999998"/>
    <n v="13.551367677367153"/>
    <s v="Positive"/>
  </r>
  <r>
    <d v="2025-06-21T00:00:00"/>
    <x v="4"/>
    <s v="Festival Offer"/>
    <n v="8894.89"/>
    <n v="155"/>
    <n v="61"/>
    <n v="163288.62"/>
    <n v="39.354799999999997"/>
    <n v="1735.7576091441263"/>
    <s v="Positive"/>
  </r>
  <r>
    <d v="2025-05-08T00:00:00"/>
    <x v="0"/>
    <s v="Retargeting Campaign"/>
    <n v="7013.1"/>
    <n v="182"/>
    <n v="61"/>
    <n v="108726.32"/>
    <n v="33.516500000000001"/>
    <n v="1450.3318076171736"/>
    <s v="Positive"/>
  </r>
  <r>
    <d v="2025-05-09T00:00:00"/>
    <x v="3"/>
    <s v="Lead Generation"/>
    <n v="7288.37"/>
    <n v="94"/>
    <n v="25"/>
    <n v="37598.660000000003"/>
    <n v="26.595700000000001"/>
    <n v="415.87199881454984"/>
    <s v="Positive"/>
  </r>
  <r>
    <d v="2025-01-20T00:00:00"/>
    <x v="3"/>
    <s v="Retargeting Campaign"/>
    <n v="10250.5"/>
    <n v="250"/>
    <n v="31"/>
    <n v="140021"/>
    <n v="12.4"/>
    <n v="1265.991902834008"/>
    <s v="Positive"/>
  </r>
  <r>
    <d v="2025-03-24T00:00:00"/>
    <x v="1"/>
    <s v="Lead Generation"/>
    <n v="8710.83"/>
    <n v="102"/>
    <n v="6"/>
    <n v="25005.75"/>
    <n v="5.8823999999999996"/>
    <n v="187.06506727831908"/>
    <s v="Positive"/>
  </r>
  <r>
    <d v="2025-05-22T00:00:00"/>
    <x v="1"/>
    <s v="Festival Offer"/>
    <n v="14047.4"/>
    <n v="171"/>
    <n v="47"/>
    <n v="133935.93"/>
    <n v="27.485399999999998"/>
    <n v="853.45708102567028"/>
    <s v="Positive"/>
  </r>
  <r>
    <d v="2025-07-17T00:00:00"/>
    <x v="4"/>
    <s v="Festival Offer"/>
    <n v="2748.97"/>
    <n v="70"/>
    <n v="11"/>
    <n v="12760.5"/>
    <n v="15.7143"/>
    <n v="364.19204283786297"/>
    <s v="Positive"/>
  </r>
  <r>
    <d v="2025-11-02T00:00:00"/>
    <x v="2"/>
    <s v="New Product Launch"/>
    <n v="14280.6"/>
    <n v="48"/>
    <n v="9"/>
    <n v="53853.760000000002"/>
    <n v="18.75"/>
    <n v="277.111325854656"/>
    <s v="Positive"/>
  </r>
  <r>
    <d v="2025-08-11T00:00:00"/>
    <x v="2"/>
    <s v="Lead Generation"/>
    <n v="13573.93"/>
    <n v="136"/>
    <n v="49"/>
    <n v="292418.53999999998"/>
    <n v="36.029400000000003"/>
    <n v="2054.2658611028637"/>
    <s v="Positive"/>
  </r>
  <r>
    <d v="2025-02-09T00:00:00"/>
    <x v="1"/>
    <s v="Lead Generation"/>
    <n v="14762.93"/>
    <n v="101"/>
    <n v="23"/>
    <n v="40710.239999999998"/>
    <n v="22.772300000000001"/>
    <n v="175.75989319193411"/>
    <s v="Positive"/>
  </r>
  <r>
    <d v="2025-08-23T00:00:00"/>
    <x v="0"/>
    <s v="Lead Generation"/>
    <n v="12301.46"/>
    <n v="150"/>
    <n v="26"/>
    <n v="59823.6"/>
    <n v="17.333300000000001"/>
    <n v="386.31300674879247"/>
    <s v="Positive"/>
  </r>
  <r>
    <d v="2025-03-19T00:00:00"/>
    <x v="1"/>
    <s v="Retargeting Campaign"/>
    <n v="2896.47"/>
    <n v="196"/>
    <n v="28"/>
    <n v="116451.83"/>
    <n v="14.2857"/>
    <n v="3920.4742324277481"/>
    <s v="Positive"/>
  </r>
  <r>
    <d v="2025-10-27T00:00:00"/>
    <x v="0"/>
    <s v="Lead Generation"/>
    <n v="13145.15"/>
    <n v="241"/>
    <n v="9"/>
    <n v="41542.92"/>
    <n v="3.7343999999999999"/>
    <n v="216.03230088663875"/>
    <s v="Positive"/>
  </r>
  <r>
    <d v="2025-09-24T00:00:00"/>
    <x v="4"/>
    <s v="Retargeting Campaign"/>
    <n v="10919.5"/>
    <n v="22"/>
    <n v="1"/>
    <n v="1266.82"/>
    <n v="4.5454999999999997"/>
    <n v="-88.398553047300695"/>
    <s v="Negative"/>
  </r>
  <r>
    <d v="2025-11-04T00:00:00"/>
    <x v="1"/>
    <s v="New Product Launch"/>
    <n v="5223.63"/>
    <n v="217"/>
    <n v="65"/>
    <n v="115201.83"/>
    <n v="29.953900000000001"/>
    <n v="2105.3979703769214"/>
    <s v="Positive"/>
  </r>
  <r>
    <d v="2025-04-27T00:00:00"/>
    <x v="3"/>
    <s v="Festival Offer"/>
    <n v="2470.7800000000002"/>
    <n v="171"/>
    <n v="54"/>
    <n v="243136.7"/>
    <n v="31.578900000000001"/>
    <n v="9740.4835719894127"/>
    <s v="Positive"/>
  </r>
  <r>
    <d v="2025-08-29T00:00:00"/>
    <x v="2"/>
    <s v="Brand Awareness"/>
    <n v="7848.8"/>
    <n v="186"/>
    <n v="71"/>
    <n v="237426.82"/>
    <n v="38.171999999999997"/>
    <n v="2925.0078992967078"/>
    <s v="Positive"/>
  </r>
  <r>
    <d v="2025-06-21T00:00:00"/>
    <x v="1"/>
    <s v="New Product Launch"/>
    <n v="12937.26"/>
    <n v="71"/>
    <n v="27"/>
    <n v="66030.05"/>
    <n v="38.028199999999998"/>
    <n v="410.38666611013463"/>
    <s v="Positive"/>
  </r>
  <r>
    <d v="2025-03-29T00:00:00"/>
    <x v="4"/>
    <s v="Retargeting Campaign"/>
    <n v="11187.82"/>
    <n v="113"/>
    <n v="1"/>
    <n v="4506.3500000000004"/>
    <n v="0.88500000000000001"/>
    <n v="-59.720928652767022"/>
    <s v="Negative"/>
  </r>
  <r>
    <d v="2025-09-28T00:00:00"/>
    <x v="0"/>
    <s v="New Product Launch"/>
    <n v="14251.88"/>
    <n v="212"/>
    <n v="11"/>
    <n v="50834.09"/>
    <n v="5.1886999999999999"/>
    <n v="256.68339896210182"/>
    <s v="Positive"/>
  </r>
  <r>
    <d v="2025-12-15T00:00:00"/>
    <x v="2"/>
    <s v="Lead Generation"/>
    <n v="11091.82"/>
    <n v="215"/>
    <n v="83"/>
    <n v="158375.65"/>
    <n v="38.604700000000001"/>
    <n v="1327.8599003590034"/>
    <s v="Positive"/>
  </r>
  <r>
    <d v="2025-05-16T00:00:00"/>
    <x v="4"/>
    <s v="Retargeting Campaign"/>
    <n v="12722.48"/>
    <n v="166"/>
    <n v="35"/>
    <n v="122986.73"/>
    <n v="21.084299999999999"/>
    <n v="866.68833434990665"/>
    <s v="Positive"/>
  </r>
  <r>
    <d v="2025-02-04T00:00:00"/>
    <x v="4"/>
    <s v="Festival Offer"/>
    <n v="11709.01"/>
    <n v="36"/>
    <n v="5"/>
    <n v="8052.41"/>
    <n v="13.8889"/>
    <n v="-31.228942498127516"/>
    <s v="Negative"/>
  </r>
  <r>
    <d v="2025-11-26T00:00:00"/>
    <x v="0"/>
    <s v="Festival Offer"/>
    <n v="2714.06"/>
    <n v="90"/>
    <n v="8"/>
    <n v="33658.33"/>
    <n v="8.8888999999999996"/>
    <n v="1140.1468648445502"/>
    <s v="Positive"/>
  </r>
  <r>
    <d v="2025-07-24T00:00:00"/>
    <x v="4"/>
    <s v="Festival Offer"/>
    <n v="5943.41"/>
    <n v="67"/>
    <n v="16"/>
    <n v="90168.18"/>
    <n v="23.880600000000001"/>
    <n v="1417.1118936771986"/>
    <s v="Positive"/>
  </r>
  <r>
    <d v="2025-04-26T00:00:00"/>
    <x v="1"/>
    <s v="New Product Launch"/>
    <n v="9911.2999999999993"/>
    <n v="132"/>
    <n v="16"/>
    <n v="28058.63"/>
    <n v="12.1212"/>
    <n v="183.09737370476128"/>
    <s v="Positive"/>
  </r>
  <r>
    <d v="2025-09-04T00:00:00"/>
    <x v="1"/>
    <s v="Retargeting Campaign"/>
    <n v="14659.93"/>
    <n v="81"/>
    <n v="9"/>
    <n v="42596.84"/>
    <n v="11.1111"/>
    <n v="190.56646245923409"/>
    <s v="Positive"/>
  </r>
  <r>
    <d v="2025-09-11T00:00:00"/>
    <x v="1"/>
    <s v="Retargeting Campaign"/>
    <n v="3828.66"/>
    <n v="195"/>
    <n v="47"/>
    <n v="261636"/>
    <n v="24.102599999999999"/>
    <n v="6733.6180282396454"/>
    <s v="Positive"/>
  </r>
  <r>
    <d v="2025-09-12T00:00:00"/>
    <x v="3"/>
    <s v="Retargeting Campaign"/>
    <n v="9866.94"/>
    <n v="115"/>
    <n v="16"/>
    <n v="26663.17"/>
    <n v="13.913"/>
    <n v="170.22734505327887"/>
    <s v="Positive"/>
  </r>
  <r>
    <d v="2025-03-13T00:00:00"/>
    <x v="2"/>
    <s v="Brand Awareness"/>
    <n v="8204.4"/>
    <n v="239"/>
    <n v="59"/>
    <n v="238348.26"/>
    <n v="24.686199999999999"/>
    <n v="2805.1272487933306"/>
    <s v="Positive"/>
  </r>
  <r>
    <d v="2025-04-01T00:00:00"/>
    <x v="3"/>
    <s v="Festival Offer"/>
    <n v="10959.95"/>
    <n v="178"/>
    <n v="24"/>
    <n v="116366.46"/>
    <n v="13.4831"/>
    <n v="961.74261743894829"/>
    <s v="Positive"/>
  </r>
  <r>
    <d v="2025-07-13T00:00:00"/>
    <x v="0"/>
    <s v="Brand Awareness"/>
    <n v="5272.56"/>
    <n v="157"/>
    <n v="36"/>
    <n v="93600.2"/>
    <n v="22.9299"/>
    <n v="1675.2325246180224"/>
    <s v="Positive"/>
  </r>
  <r>
    <d v="2025-07-26T00:00:00"/>
    <x v="4"/>
    <s v="Brand Awareness"/>
    <n v="3802.07"/>
    <n v="45"/>
    <n v="15"/>
    <n v="83638.31"/>
    <n v="33.333300000000001"/>
    <n v="2099.8098404290295"/>
    <s v="Positive"/>
  </r>
  <r>
    <d v="2025-01-08T00:00:00"/>
    <x v="2"/>
    <s v="Lead Generation"/>
    <n v="7716.73"/>
    <n v="208"/>
    <n v="75"/>
    <n v="156851.38"/>
    <n v="36.057699999999997"/>
    <n v="1932.6145919320747"/>
    <s v="Positive"/>
  </r>
  <r>
    <d v="2025-03-06T00:00:00"/>
    <x v="4"/>
    <s v="New Product Launch"/>
    <n v="5439.36"/>
    <n v="74"/>
    <n v="12"/>
    <n v="67803.88"/>
    <n v="16.216200000000001"/>
    <n v="1146.5415048829275"/>
    <s v="Positive"/>
  </r>
  <r>
    <d v="2025-08-27T00:00:00"/>
    <x v="0"/>
    <s v="Festival Offer"/>
    <n v="8355.83"/>
    <n v="34"/>
    <n v="5"/>
    <n v="12038.85"/>
    <n v="14.7059"/>
    <n v="44.077249058441836"/>
    <s v="Positive"/>
  </r>
  <r>
    <d v="2025-01-15T00:00:00"/>
    <x v="2"/>
    <s v="Brand Awareness"/>
    <n v="1199.9000000000001"/>
    <n v="122"/>
    <n v="32"/>
    <n v="157011.60999999999"/>
    <n v="26.229500000000002"/>
    <n v="12985.391282606884"/>
    <s v="Positive"/>
  </r>
  <r>
    <d v="2025-04-30T00:00:00"/>
    <x v="2"/>
    <s v="Festival Offer"/>
    <n v="2653.17"/>
    <n v="162"/>
    <n v="18"/>
    <n v="42708.37"/>
    <n v="11.1111"/>
    <n v="1509.7110249249013"/>
    <s v="Positive"/>
  </r>
  <r>
    <d v="2025-10-17T00:00:00"/>
    <x v="4"/>
    <s v="Festival Offer"/>
    <n v="9159.1299999999992"/>
    <n v="45"/>
    <n v="14"/>
    <n v="36163.199999999997"/>
    <n v="31.1111"/>
    <n v="294.83226026926144"/>
    <s v="Positive"/>
  </r>
  <r>
    <d v="2025-11-07T00:00:00"/>
    <x v="4"/>
    <s v="Brand Awareness"/>
    <n v="3476.94"/>
    <n v="181"/>
    <n v="29"/>
    <n v="29199.200000000001"/>
    <n v="16.022099999999998"/>
    <n v="739.79591249777116"/>
    <s v="Positive"/>
  </r>
  <r>
    <d v="2025-08-14T00:00:00"/>
    <x v="2"/>
    <s v="New Product Launch"/>
    <n v="1144.23"/>
    <n v="204"/>
    <n v="75"/>
    <n v="188771.03"/>
    <n v="36.764699999999998"/>
    <n v="16397.647326149461"/>
    <s v="Positive"/>
  </r>
  <r>
    <d v="2025-06-18T00:00:00"/>
    <x v="1"/>
    <s v="New Product Launch"/>
    <n v="4711.96"/>
    <n v="130"/>
    <n v="37"/>
    <n v="185544.04"/>
    <n v="28.461500000000001"/>
    <n v="3837.7252778037168"/>
    <s v="Positive"/>
  </r>
  <r>
    <d v="2025-07-28T00:00:00"/>
    <x v="0"/>
    <s v="Retargeting Campaign"/>
    <n v="2273.17"/>
    <n v="185"/>
    <n v="60"/>
    <n v="82352.66"/>
    <n v="32.432400000000001"/>
    <n v="3522.811316355574"/>
    <s v="Positive"/>
  </r>
  <r>
    <d v="2025-12-11T00:00:00"/>
    <x v="4"/>
    <s v="Retargeting Campaign"/>
    <n v="10639.37"/>
    <n v="39"/>
    <n v="7"/>
    <n v="17270.8"/>
    <n v="17.948699999999999"/>
    <n v="62.329160467208098"/>
    <s v="Positive"/>
  </r>
  <r>
    <d v="2025-08-25T00:00:00"/>
    <x v="1"/>
    <s v="Retargeting Campaign"/>
    <n v="8680.41"/>
    <n v="46"/>
    <n v="1"/>
    <n v="3864.96"/>
    <n v="2.1739000000000002"/>
    <n v="-55.474914203361358"/>
    <s v="Negative"/>
  </r>
  <r>
    <d v="2025-03-05T00:00:00"/>
    <x v="3"/>
    <s v="Brand Awareness"/>
    <n v="2744.77"/>
    <n v="69"/>
    <n v="13"/>
    <n v="24425.62"/>
    <n v="18.840599999999998"/>
    <n v="789.8967855230128"/>
    <s v="Positive"/>
  </r>
  <r>
    <d v="2025-04-09T00:00:00"/>
    <x v="3"/>
    <s v="Retargeting Campaign"/>
    <n v="4777.1899999999996"/>
    <n v="41"/>
    <n v="5"/>
    <n v="25837.75"/>
    <n v="12.1951"/>
    <n v="440.85665422560129"/>
    <s v="Positive"/>
  </r>
  <r>
    <d v="2025-07-06T00:00:00"/>
    <x v="3"/>
    <s v="Lead Generation"/>
    <n v="12200.67"/>
    <n v="201"/>
    <n v="25"/>
    <n v="95814.5"/>
    <n v="12.437799999999999"/>
    <n v="685.32162577956785"/>
    <s v="Positive"/>
  </r>
  <r>
    <d v="2025-08-30T00:00:00"/>
    <x v="2"/>
    <s v="Retargeting Campaign"/>
    <n v="9236.4"/>
    <n v="120"/>
    <n v="18"/>
    <n v="21895.4"/>
    <n v="15"/>
    <n v="137.05556277337493"/>
    <s v="Positive"/>
  </r>
  <r>
    <d v="2025-10-10T00:00:00"/>
    <x v="3"/>
    <s v="Lead Generation"/>
    <n v="12737.19"/>
    <n v="213"/>
    <n v="35"/>
    <n v="39885.730000000003"/>
    <n v="16.431899999999999"/>
    <n v="213.14387239257638"/>
    <s v="Positive"/>
  </r>
  <r>
    <d v="2025-06-20T00:00:00"/>
    <x v="2"/>
    <s v="Brand Awareness"/>
    <n v="7445.2"/>
    <n v="147"/>
    <n v="42"/>
    <n v="228321.41"/>
    <n v="28.571400000000001"/>
    <n v="2966.6927684951379"/>
    <s v="Positive"/>
  </r>
  <r>
    <d v="2025-09-22T00:00:00"/>
    <x v="0"/>
    <s v="New Product Launch"/>
    <n v="10690.16"/>
    <n v="162"/>
    <n v="45"/>
    <n v="67653.62"/>
    <n v="27.777799999999999"/>
    <n v="532.8588159578527"/>
    <s v="Positive"/>
  </r>
  <r>
    <d v="2025-09-28T00:00:00"/>
    <x v="3"/>
    <s v="Retargeting Campaign"/>
    <n v="1332.25"/>
    <n v="145"/>
    <n v="1"/>
    <n v="3780.11"/>
    <n v="0.68969999999999998"/>
    <n v="183.73878776505913"/>
    <s v="Positive"/>
  </r>
  <r>
    <d v="2025-05-10T00:00:00"/>
    <x v="1"/>
    <s v="New Product Launch"/>
    <n v="4940.8599999999997"/>
    <n v="232"/>
    <n v="81"/>
    <n v="315534.53000000003"/>
    <n v="34.913800000000002"/>
    <n v="6286.2268916747298"/>
    <s v="Positive"/>
  </r>
  <r>
    <d v="2025-07-30T00:00:00"/>
    <x v="0"/>
    <s v="Festival Offer"/>
    <n v="7710.38"/>
    <n v="159"/>
    <n v="40"/>
    <n v="90405.99"/>
    <n v="25.1572"/>
    <n v="1072.5231441251924"/>
    <s v="Positive"/>
  </r>
  <r>
    <d v="2025-06-03T00:00:00"/>
    <x v="3"/>
    <s v="Lead Generation"/>
    <n v="11215.94"/>
    <n v="246"/>
    <n v="16"/>
    <n v="33986.29"/>
    <n v="6.5041000000000002"/>
    <n v="203.01775865420106"/>
    <s v="Positive"/>
  </r>
  <r>
    <d v="2025-12-07T00:00:00"/>
    <x v="0"/>
    <s v="New Product Launch"/>
    <n v="4832.43"/>
    <n v="102"/>
    <n v="33"/>
    <n v="39597.82"/>
    <n v="32.352899999999998"/>
    <n v="719.41838785041887"/>
    <s v="Positive"/>
  </r>
  <r>
    <d v="2025-06-29T00:00:00"/>
    <x v="1"/>
    <s v="Festival Offer"/>
    <n v="3610.58"/>
    <n v="224"/>
    <n v="64"/>
    <n v="242020.76"/>
    <n v="28.571400000000001"/>
    <n v="6603.0992250552545"/>
    <s v="Positive"/>
  </r>
  <r>
    <d v="2025-04-30T00:00:00"/>
    <x v="1"/>
    <s v="Brand Awareness"/>
    <n v="13254.2"/>
    <n v="197"/>
    <n v="36"/>
    <n v="163203.74"/>
    <n v="18.274100000000001"/>
    <n v="1131.3360293340975"/>
    <s v="Positive"/>
  </r>
  <r>
    <d v="2025-09-01T00:00:00"/>
    <x v="0"/>
    <s v="New Product Launch"/>
    <n v="14942.42"/>
    <n v="125"/>
    <n v="42"/>
    <n v="86693.19"/>
    <n v="33.6"/>
    <n v="480.18172424547032"/>
    <s v="Positive"/>
  </r>
  <r>
    <d v="2025-04-06T00:00:00"/>
    <x v="3"/>
    <s v="Brand Awareness"/>
    <n v="10535.72"/>
    <n v="162"/>
    <n v="56"/>
    <n v="168606.51"/>
    <n v="34.567900000000002"/>
    <n v="1500.3321082944499"/>
    <s v="Positive"/>
  </r>
  <r>
    <d v="2025-06-19T00:00:00"/>
    <x v="1"/>
    <s v="New Product Launch"/>
    <n v="14751.71"/>
    <n v="219"/>
    <n v="12"/>
    <n v="53555.7"/>
    <n v="5.4794999999999998"/>
    <n v="263.0474026401007"/>
    <s v="Positive"/>
  </r>
  <r>
    <d v="2025-05-08T00:00:00"/>
    <x v="3"/>
    <s v="Brand Awareness"/>
    <n v="5951.95"/>
    <n v="118"/>
    <n v="4"/>
    <n v="6169.21"/>
    <n v="3.3898000000000001"/>
    <n v="3.6502322768168458"/>
    <s v="Positive"/>
  </r>
  <r>
    <d v="2025-07-31T00:00:00"/>
    <x v="2"/>
    <s v="Festival Offer"/>
    <n v="13275.38"/>
    <n v="135"/>
    <n v="6"/>
    <n v="25572.12"/>
    <n v="4.4443999999999999"/>
    <n v="92.628158290007519"/>
    <s v="Positive"/>
  </r>
  <r>
    <d v="2025-10-09T00:00:00"/>
    <x v="3"/>
    <s v="Retargeting Campaign"/>
    <n v="12369.53"/>
    <n v="202"/>
    <n v="66"/>
    <n v="134214.5"/>
    <n v="32.673299999999998"/>
    <n v="985.04122630366714"/>
    <s v="Positive"/>
  </r>
  <r>
    <d v="2025-12-10T00:00:00"/>
    <x v="0"/>
    <s v="Brand Awareness"/>
    <n v="4602.25"/>
    <n v="204"/>
    <n v="36"/>
    <n v="109181.36"/>
    <n v="17.647099999999998"/>
    <n v="2272.347438752784"/>
    <s v="Positive"/>
  </r>
  <r>
    <d v="2025-08-19T00:00:00"/>
    <x v="4"/>
    <s v="New Product Launch"/>
    <n v="7973.72"/>
    <n v="105"/>
    <n v="33"/>
    <n v="115326.72"/>
    <n v="31.428599999999999"/>
    <n v="1346.3352111686891"/>
    <s v="Positive"/>
  </r>
  <r>
    <d v="2025-08-08T00:00:00"/>
    <x v="1"/>
    <s v="Retargeting Campaign"/>
    <n v="3848.03"/>
    <n v="123"/>
    <n v="37"/>
    <n v="42447.87"/>
    <n v="30.081299999999999"/>
    <n v="1003.1065246372818"/>
    <s v="Positive"/>
  </r>
  <r>
    <d v="2025-09-27T00:00:00"/>
    <x v="4"/>
    <s v="Festival Offer"/>
    <n v="13919"/>
    <n v="188"/>
    <n v="30"/>
    <n v="33382.32"/>
    <n v="15.9574"/>
    <n v="139.83274660535957"/>
    <s v="Positive"/>
  </r>
  <r>
    <d v="2025-01-17T00:00:00"/>
    <x v="1"/>
    <s v="New Product Launch"/>
    <n v="12346.85"/>
    <n v="101"/>
    <n v="17"/>
    <n v="72661.039999999994"/>
    <n v="16.831700000000001"/>
    <n v="488.49860490732448"/>
    <s v="Positive"/>
  </r>
  <r>
    <d v="2025-02-28T00:00:00"/>
    <x v="3"/>
    <s v="Lead Generation"/>
    <n v="13684.82"/>
    <n v="199"/>
    <n v="8"/>
    <n v="24666.93"/>
    <n v="4.0201000000000002"/>
    <n v="80.250306544039319"/>
    <s v="Positive"/>
  </r>
  <r>
    <d v="2025-10-24T00:00:00"/>
    <x v="2"/>
    <s v="Festival Offer"/>
    <n v="11702.11"/>
    <n v="36"/>
    <n v="10"/>
    <n v="17866.7"/>
    <n v="27.777799999999999"/>
    <n v="52.679303134221087"/>
    <s v="Positive"/>
  </r>
  <r>
    <d v="2025-05-05T00:00:00"/>
    <x v="1"/>
    <s v="Lead Generation"/>
    <n v="14569.78"/>
    <n v="41"/>
    <n v="9"/>
    <n v="45150.31"/>
    <n v="21.9512"/>
    <n v="209.89012874593848"/>
    <s v="Positive"/>
  </r>
  <r>
    <d v="2025-08-18T00:00:00"/>
    <x v="2"/>
    <s v="Lead Generation"/>
    <n v="14778.45"/>
    <n v="235"/>
    <n v="29"/>
    <n v="158956.07"/>
    <n v="12.340400000000001"/>
    <n v="975.59365156697754"/>
    <s v="Positive"/>
  </r>
  <r>
    <d v="2025-06-07T00:00:00"/>
    <x v="0"/>
    <s v="Brand Awareness"/>
    <n v="7135.96"/>
    <n v="94"/>
    <n v="8"/>
    <n v="25856.12"/>
    <n v="8.5106000000000002"/>
    <n v="262.33555120824667"/>
    <s v="Positive"/>
  </r>
  <r>
    <d v="2025-06-15T00:00:00"/>
    <x v="2"/>
    <s v="Retargeting Campaign"/>
    <n v="11951.85"/>
    <n v="193"/>
    <n v="5"/>
    <n v="6050.29"/>
    <n v="2.5907"/>
    <n v="-49.377795069382572"/>
    <s v="Negative"/>
  </r>
  <r>
    <d v="2025-05-28T00:00:00"/>
    <x v="1"/>
    <s v="Festival Offer"/>
    <n v="8635.4599999999991"/>
    <n v="115"/>
    <n v="18"/>
    <n v="81866.94"/>
    <n v="15.652200000000001"/>
    <n v="848.03218357794515"/>
    <s v="Positive"/>
  </r>
  <r>
    <d v="2025-05-27T00:00:00"/>
    <x v="4"/>
    <s v="Lead Generation"/>
    <n v="5506.23"/>
    <n v="166"/>
    <n v="16"/>
    <n v="49796.91"/>
    <n v="9.6386000000000003"/>
    <n v="804.37395459325194"/>
    <s v="Positive"/>
  </r>
  <r>
    <d v="2025-02-17T00:00:00"/>
    <x v="2"/>
    <s v="Retargeting Campaign"/>
    <n v="1141.71"/>
    <n v="225"/>
    <n v="87"/>
    <n v="346787.84000000003"/>
    <n v="38.666699999999999"/>
    <n v="30274.424328419649"/>
    <s v="Positive"/>
  </r>
  <r>
    <d v="2025-06-22T00:00:00"/>
    <x v="0"/>
    <s v="Retargeting Campaign"/>
    <n v="11382.12"/>
    <n v="98"/>
    <n v="39"/>
    <n v="80583.600000000006"/>
    <n v="39.795900000000003"/>
    <n v="607.98410138005931"/>
    <s v="Positive"/>
  </r>
  <r>
    <d v="2025-12-10T00:00:00"/>
    <x v="2"/>
    <s v="New Product Launch"/>
    <n v="7185.24"/>
    <n v="181"/>
    <n v="49"/>
    <n v="275490.95"/>
    <n v="27.0718"/>
    <n v="3734.1231468955802"/>
    <s v="Positive"/>
  </r>
  <r>
    <d v="2025-08-22T00:00:00"/>
    <x v="3"/>
    <s v="Lead Generation"/>
    <n v="5955.78"/>
    <n v="42"/>
    <n v="16"/>
    <n v="64130.85"/>
    <n v="38.095199999999998"/>
    <n v="976.78339361091241"/>
    <s v="Positive"/>
  </r>
  <r>
    <d v="2025-04-25T00:00:00"/>
    <x v="1"/>
    <s v="Festival Offer"/>
    <n v="14726.83"/>
    <n v="203"/>
    <n v="13"/>
    <n v="31339.86"/>
    <n v="6.4039000000000001"/>
    <n v="112.80791589228639"/>
    <s v="Positive"/>
  </r>
  <r>
    <d v="2025-03-19T00:00:00"/>
    <x v="4"/>
    <s v="Brand Awareness"/>
    <n v="1008.95"/>
    <n v="170"/>
    <n v="56"/>
    <n v="76066.759999999995"/>
    <n v="32.941200000000002"/>
    <n v="7439.200158580702"/>
    <s v="Positive"/>
  </r>
  <r>
    <d v="2025-12-15T00:00:00"/>
    <x v="4"/>
    <s v="Retargeting Campaign"/>
    <n v="4857.41"/>
    <n v="115"/>
    <n v="16"/>
    <n v="55436.66"/>
    <n v="13.913"/>
    <n v="1041.2802295873726"/>
    <s v="Positive"/>
  </r>
  <r>
    <d v="2025-10-21T00:00:00"/>
    <x v="4"/>
    <s v="Festival Offer"/>
    <n v="1908.67"/>
    <n v="250"/>
    <n v="92"/>
    <n v="198810.98"/>
    <n v="36.799999999999997"/>
    <n v="10316.205001388402"/>
    <s v="Positive"/>
  </r>
  <r>
    <d v="2025-04-02T00:00:00"/>
    <x v="4"/>
    <s v="Festival Offer"/>
    <n v="13290.89"/>
    <n v="165"/>
    <n v="46"/>
    <n v="138937.59"/>
    <n v="27.878799999999998"/>
    <n v="945.35956583795371"/>
    <s v="Positive"/>
  </r>
  <r>
    <d v="2025-04-05T00:00:00"/>
    <x v="0"/>
    <s v="Lead Generation"/>
    <n v="13210.3"/>
    <n v="209"/>
    <n v="34"/>
    <n v="59286.81"/>
    <n v="16.267900000000001"/>
    <n v="348.7923060036486"/>
    <s v="Positive"/>
  </r>
  <r>
    <d v="2025-08-02T00:00:00"/>
    <x v="3"/>
    <s v="Retargeting Campaign"/>
    <n v="8392.66"/>
    <n v="112"/>
    <n v="39"/>
    <n v="195618.28"/>
    <n v="34.821399999999997"/>
    <n v="2230.825745353678"/>
    <s v="Positive"/>
  </r>
  <r>
    <d v="2025-07-27T00:00:00"/>
    <x v="1"/>
    <s v="Retargeting Campaign"/>
    <n v="9453.83"/>
    <n v="44"/>
    <n v="1"/>
    <n v="5508.66"/>
    <n v="2.2726999999999999"/>
    <n v="-41.730917522316354"/>
    <s v="Negative"/>
  </r>
  <r>
    <d v="2025-12-11T00:00:00"/>
    <x v="4"/>
    <s v="Lead Generation"/>
    <n v="13400.57"/>
    <n v="174"/>
    <n v="50"/>
    <n v="143150.07999999999"/>
    <n v="28.735600000000002"/>
    <n v="968.23873909841132"/>
    <s v="Positive"/>
  </r>
  <r>
    <d v="2025-09-19T00:00:00"/>
    <x v="0"/>
    <s v="New Product Launch"/>
    <n v="5489.86"/>
    <n v="247"/>
    <n v="17"/>
    <n v="84438.44"/>
    <n v="6.8826000000000001"/>
    <n v="1438.0800238986058"/>
    <s v="Positive"/>
  </r>
  <r>
    <d v="2025-12-26T00:00:00"/>
    <x v="4"/>
    <s v="Festival Offer"/>
    <n v="10329.76"/>
    <n v="33"/>
    <n v="5"/>
    <n v="29266.7"/>
    <n v="15.1515"/>
    <n v="183.32410433543473"/>
    <s v="Positive"/>
  </r>
  <r>
    <d v="2025-06-15T00:00:00"/>
    <x v="0"/>
    <s v="New Product Launch"/>
    <n v="4832.18"/>
    <n v="211"/>
    <n v="15"/>
    <n v="66128.11"/>
    <n v="7.109"/>
    <n v="1268.4943441676428"/>
    <s v="Positive"/>
  </r>
  <r>
    <d v="2025-11-07T00:00:00"/>
    <x v="4"/>
    <s v="Lead Generation"/>
    <n v="8613.24"/>
    <n v="217"/>
    <n v="86"/>
    <n v="191407.64"/>
    <n v="39.631300000000003"/>
    <n v="2122.2490026981723"/>
    <s v="Positive"/>
  </r>
  <r>
    <d v="2025-05-12T00:00:00"/>
    <x v="4"/>
    <s v="New Product Launch"/>
    <n v="14740.1"/>
    <n v="167"/>
    <n v="50"/>
    <n v="201784.87"/>
    <n v="29.940100000000001"/>
    <n v="1268.9518388613374"/>
    <s v="Positive"/>
  </r>
  <r>
    <d v="2025-05-03T00:00:00"/>
    <x v="3"/>
    <s v="Festival Offer"/>
    <n v="3849.05"/>
    <n v="53"/>
    <n v="7"/>
    <n v="23428.6"/>
    <n v="13.2075"/>
    <n v="508.68525999922053"/>
    <s v="Positive"/>
  </r>
  <r>
    <d v="2025-07-13T00:00:00"/>
    <x v="4"/>
    <s v="New Product Launch"/>
    <n v="2971.05"/>
    <n v="168"/>
    <n v="3"/>
    <n v="6018.75"/>
    <n v="1.7857000000000001"/>
    <n v="102.5798959963649"/>
    <s v="Positive"/>
  </r>
  <r>
    <d v="2025-02-12T00:00:00"/>
    <x v="4"/>
    <s v="Festival Offer"/>
    <n v="5784.57"/>
    <n v="90"/>
    <n v="26"/>
    <n v="127735.75"/>
    <n v="28.8889"/>
    <n v="2108.2151309431815"/>
    <s v="Positive"/>
  </r>
  <r>
    <d v="2025-10-06T00:00:00"/>
    <x v="3"/>
    <s v="Festival Offer"/>
    <n v="13459.25"/>
    <n v="59"/>
    <n v="20"/>
    <n v="34758.86"/>
    <n v="33.898299999999999"/>
    <n v="158.25257722384234"/>
    <s v="Positive"/>
  </r>
  <r>
    <d v="2025-12-30T00:00:00"/>
    <x v="3"/>
    <s v="Lead Generation"/>
    <n v="6890.17"/>
    <n v="171"/>
    <n v="49"/>
    <n v="122470.07"/>
    <n v="28.655000000000001"/>
    <n v="1677.460788340491"/>
    <s v="Positive"/>
  </r>
  <r>
    <d v="2025-02-11T00:00:00"/>
    <x v="2"/>
    <s v="Lead Generation"/>
    <n v="6598.98"/>
    <n v="158"/>
    <n v="45"/>
    <n v="126437.99"/>
    <n v="28.481000000000002"/>
    <n v="1816.023233893723"/>
    <s v="Positive"/>
  </r>
  <r>
    <d v="2025-05-14T00:00:00"/>
    <x v="0"/>
    <s v="Brand Awareness"/>
    <n v="7710.12"/>
    <n v="231"/>
    <n v="24"/>
    <n v="108127.5"/>
    <n v="10.3896"/>
    <n v="1302.410079220557"/>
    <s v="Positive"/>
  </r>
  <r>
    <d v="2025-02-15T00:00:00"/>
    <x v="1"/>
    <s v="Festival Offer"/>
    <n v="3291.72"/>
    <n v="66"/>
    <n v="14"/>
    <n v="78432.479999999996"/>
    <n v="21.2121"/>
    <n v="2282.7202799752104"/>
    <s v="Positive"/>
  </r>
  <r>
    <d v="2025-02-03T00:00:00"/>
    <x v="2"/>
    <s v="Festival Offer"/>
    <n v="2901.71"/>
    <n v="201"/>
    <n v="50"/>
    <n v="233656.7"/>
    <n v="24.875599999999999"/>
    <n v="7952.3794590086536"/>
    <s v="Positive"/>
  </r>
  <r>
    <d v="2025-04-28T00:00:00"/>
    <x v="0"/>
    <s v="Lead Generation"/>
    <n v="14853.19"/>
    <n v="157"/>
    <n v="11"/>
    <n v="21228.74"/>
    <n v="7.0064000000000002"/>
    <n v="42.923775970010489"/>
    <s v="Positive"/>
  </r>
  <r>
    <d v="2025-08-28T00:00:00"/>
    <x v="3"/>
    <s v="Festival Offer"/>
    <n v="4888.84"/>
    <n v="225"/>
    <n v="1"/>
    <n v="4301.33"/>
    <n v="0.44440000000000002"/>
    <n v="-12.017370173701741"/>
    <s v="Negative"/>
  </r>
  <r>
    <d v="2025-01-04T00:00:00"/>
    <x v="2"/>
    <s v="Festival Offer"/>
    <n v="6005.19"/>
    <n v="165"/>
    <n v="8"/>
    <n v="34158.379999999997"/>
    <n v="4.8484999999999996"/>
    <n v="468.81430895608628"/>
    <s v="Positive"/>
  </r>
  <r>
    <d v="2025-10-24T00:00:00"/>
    <x v="3"/>
    <s v="Brand Awareness"/>
    <n v="10719.08"/>
    <n v="192"/>
    <n v="74"/>
    <n v="177493.68"/>
    <n v="38.541699999999999"/>
    <n v="1555.8667348317208"/>
    <s v="Positive"/>
  </r>
  <r>
    <d v="2025-06-22T00:00:00"/>
    <x v="0"/>
    <s v="Lead Generation"/>
    <n v="1635.66"/>
    <n v="145"/>
    <n v="22"/>
    <n v="72974.03"/>
    <n v="15.1724"/>
    <n v="4361.4424758201576"/>
    <s v="Positive"/>
  </r>
  <r>
    <d v="2025-08-14T00:00:00"/>
    <x v="2"/>
    <s v="New Product Launch"/>
    <n v="5986.22"/>
    <n v="83"/>
    <n v="7"/>
    <n v="31039.49"/>
    <n v="8.4337"/>
    <n v="418.51569103708181"/>
    <s v="Positive"/>
  </r>
  <r>
    <d v="2025-08-23T00:00:00"/>
    <x v="1"/>
    <s v="Lead Generation"/>
    <n v="2018.9"/>
    <n v="240"/>
    <n v="96"/>
    <n v="161637.99"/>
    <n v="40"/>
    <n v="7906.2405270196632"/>
    <s v="Positive"/>
  </r>
  <r>
    <d v="2025-02-23T00:00:00"/>
    <x v="3"/>
    <s v="Brand Awareness"/>
    <n v="11148.95"/>
    <n v="124"/>
    <n v="43"/>
    <n v="180630"/>
    <n v="34.677399999999999"/>
    <n v="1520.1525704214296"/>
    <s v="Positive"/>
  </r>
  <r>
    <d v="2025-05-02T00:00:00"/>
    <x v="0"/>
    <s v="Retargeting Campaign"/>
    <n v="3078.55"/>
    <n v="225"/>
    <n v="16"/>
    <n v="74040.06"/>
    <n v="7.1111000000000004"/>
    <n v="2305.0302902340386"/>
    <s v="Positive"/>
  </r>
  <r>
    <d v="2025-03-09T00:00:00"/>
    <x v="1"/>
    <s v="Retargeting Campaign"/>
    <n v="9058.14"/>
    <n v="221"/>
    <n v="36"/>
    <n v="155804.51999999999"/>
    <n v="16.2896"/>
    <n v="1620.049811550716"/>
    <s v="Positive"/>
  </r>
  <r>
    <d v="2025-08-19T00:00:00"/>
    <x v="2"/>
    <s v="Retargeting Campaign"/>
    <n v="12415.96"/>
    <n v="93"/>
    <n v="24"/>
    <n v="71881.490000000005"/>
    <n v="25.8065"/>
    <n v="478.94427817099938"/>
    <s v="Positive"/>
  </r>
  <r>
    <d v="2025-07-09T00:00:00"/>
    <x v="1"/>
    <s v="Lead Generation"/>
    <n v="10894.28"/>
    <n v="158"/>
    <n v="7"/>
    <n v="40100.769999999997"/>
    <n v="4.4303999999999997"/>
    <n v="268.09013537379246"/>
    <s v="Positive"/>
  </r>
  <r>
    <d v="2025-05-19T00:00:00"/>
    <x v="2"/>
    <s v="Festival Offer"/>
    <n v="9491.76"/>
    <n v="168"/>
    <n v="2"/>
    <n v="9185.68"/>
    <n v="1.1904999999999999"/>
    <n v="-3.2246917326186071"/>
    <s v="Negative"/>
  </r>
  <r>
    <d v="2025-03-30T00:00:00"/>
    <x v="4"/>
    <s v="New Product Launch"/>
    <n v="12684.54"/>
    <n v="242"/>
    <n v="89"/>
    <n v="284908.06"/>
    <n v="36.776899999999998"/>
    <n v="2146.1047858258953"/>
    <s v="Positive"/>
  </r>
  <r>
    <d v="2025-01-22T00:00:00"/>
    <x v="1"/>
    <s v="New Product Launch"/>
    <n v="8965.08"/>
    <n v="110"/>
    <n v="9"/>
    <n v="44324.44"/>
    <n v="8.1818000000000008"/>
    <n v="394.41209671302431"/>
    <s v="Positive"/>
  </r>
  <r>
    <d v="2025-12-16T00:00:00"/>
    <x v="4"/>
    <s v="Festival Offer"/>
    <n v="11761.29"/>
    <n v="227"/>
    <n v="29"/>
    <n v="158323.70000000001"/>
    <n v="12.7753"/>
    <n v="1246.1423024175069"/>
    <s v="Positive"/>
  </r>
  <r>
    <d v="2025-04-27T00:00:00"/>
    <x v="1"/>
    <s v="Festival Offer"/>
    <n v="9544.26"/>
    <n v="133"/>
    <n v="38"/>
    <n v="102355.27"/>
    <n v="28.571400000000001"/>
    <n v="972.42751140476059"/>
    <s v="Positive"/>
  </r>
  <r>
    <d v="2025-06-28T00:00:00"/>
    <x v="0"/>
    <s v="Lead Generation"/>
    <n v="3129.17"/>
    <n v="95"/>
    <n v="10"/>
    <n v="22847.09"/>
    <n v="10.526300000000001"/>
    <n v="630.13259107047543"/>
    <s v="Positive"/>
  </r>
  <r>
    <d v="2025-03-22T00:00:00"/>
    <x v="0"/>
    <s v="Retargeting Campaign"/>
    <n v="14068.75"/>
    <n v="235"/>
    <n v="80"/>
    <n v="203922.37"/>
    <n v="34.0426"/>
    <n v="1349.4704220346514"/>
    <s v="Positive"/>
  </r>
  <r>
    <d v="2025-08-25T00:00:00"/>
    <x v="1"/>
    <s v="Retargeting Campaign"/>
    <n v="1074.57"/>
    <n v="209"/>
    <n v="69"/>
    <n v="351016.7"/>
    <n v="33.014400000000002"/>
    <n v="32565.782592106614"/>
    <s v="Positive"/>
  </r>
  <r>
    <d v="2025-08-13T00:00:00"/>
    <x v="1"/>
    <s v="Lead Generation"/>
    <n v="4674.42"/>
    <n v="179"/>
    <n v="66"/>
    <n v="121588.79"/>
    <n v="36.871499999999997"/>
    <n v="2501.1524424420568"/>
    <s v="Positive"/>
  </r>
  <r>
    <d v="2025-10-19T00:00:00"/>
    <x v="0"/>
    <s v="Retargeting Campaign"/>
    <n v="6063.44"/>
    <n v="224"/>
    <n v="80"/>
    <n v="473920.85"/>
    <n v="35.714300000000001"/>
    <n v="7716.0392450490153"/>
    <s v="Positive"/>
  </r>
  <r>
    <d v="2025-12-10T00:00:00"/>
    <x v="1"/>
    <s v="Festival Offer"/>
    <n v="13522.41"/>
    <n v="27"/>
    <n v="9"/>
    <n v="45802.35"/>
    <n v="33.333300000000001"/>
    <n v="238.71440076140274"/>
    <s v="Positive"/>
  </r>
  <r>
    <d v="2025-08-30T00:00:00"/>
    <x v="2"/>
    <s v="New Product Launch"/>
    <n v="6854.55"/>
    <n v="173"/>
    <n v="27"/>
    <n v="142400.93"/>
    <n v="15.6069"/>
    <n v="1977.4657709112926"/>
    <s v="Positive"/>
  </r>
  <r>
    <d v="2025-10-15T00:00:00"/>
    <x v="1"/>
    <s v="Retargeting Campaign"/>
    <n v="9917.01"/>
    <n v="242"/>
    <n v="43"/>
    <n v="108833.60000000001"/>
    <n v="17.768599999999999"/>
    <n v="997.44368514300186"/>
    <s v="Positive"/>
  </r>
  <r>
    <d v="2025-12-10T00:00:00"/>
    <x v="3"/>
    <s v="Brand Awareness"/>
    <n v="3746.19"/>
    <n v="243"/>
    <n v="46"/>
    <n v="47538.64"/>
    <n v="18.93"/>
    <n v="1168.9863568051805"/>
    <s v="Positive"/>
  </r>
  <r>
    <d v="2025-02-25T00:00:00"/>
    <x v="2"/>
    <s v="New Product Launch"/>
    <n v="4810.25"/>
    <n v="118"/>
    <n v="11"/>
    <n v="22813.07"/>
    <n v="9.3219999999999992"/>
    <n v="374.25954991944286"/>
    <s v="Positive"/>
  </r>
  <r>
    <d v="2025-11-18T00:00:00"/>
    <x v="1"/>
    <s v="Lead Generation"/>
    <n v="10098.76"/>
    <n v="129"/>
    <n v="36"/>
    <n v="112109.84"/>
    <n v="27.907"/>
    <n v="1010.1347096079122"/>
    <s v="Positive"/>
  </r>
  <r>
    <d v="2025-01-21T00:00:00"/>
    <x v="1"/>
    <s v="Lead Generation"/>
    <n v="10282.870000000001"/>
    <n v="248"/>
    <n v="21"/>
    <n v="99529.37"/>
    <n v="8.4677000000000007"/>
    <n v="867.91430797044006"/>
    <s v="Positive"/>
  </r>
  <r>
    <d v="2025-08-18T00:00:00"/>
    <x v="0"/>
    <s v="Lead Generation"/>
    <n v="8284.1299999999992"/>
    <n v="83"/>
    <n v="13"/>
    <n v="76109.89"/>
    <n v="15.662699999999999"/>
    <n v="818.74330798768256"/>
    <s v="Positive"/>
  </r>
  <r>
    <d v="2025-11-29T00:00:00"/>
    <x v="2"/>
    <s v="Lead Generation"/>
    <n v="8119.79"/>
    <n v="248"/>
    <n v="22"/>
    <n v="119125.3"/>
    <n v="8.8710000000000004"/>
    <n v="1367.0982870246644"/>
    <s v="Positive"/>
  </r>
  <r>
    <d v="2025-03-12T00:00:00"/>
    <x v="1"/>
    <s v="Brand Awareness"/>
    <n v="3833.24"/>
    <n v="192"/>
    <n v="22"/>
    <n v="54266.87"/>
    <n v="11.458299999999999"/>
    <n v="1315.6919472821949"/>
    <s v="Positive"/>
  </r>
  <r>
    <d v="2025-04-04T00:00:00"/>
    <x v="4"/>
    <s v="Retargeting Campaign"/>
    <n v="7323.49"/>
    <n v="226"/>
    <n v="17"/>
    <n v="82986.429999999993"/>
    <n v="7.5221"/>
    <n v="1033.1541382592177"/>
    <s v="Positive"/>
  </r>
  <r>
    <d v="2025-06-22T00:00:00"/>
    <x v="1"/>
    <s v="Festival Offer"/>
    <n v="9435.27"/>
    <n v="44"/>
    <n v="14"/>
    <n v="69996.399999999994"/>
    <n v="31.818200000000001"/>
    <n v="641.85900350493398"/>
    <s v="Positive"/>
  </r>
  <r>
    <d v="2025-02-12T00:00:00"/>
    <x v="4"/>
    <s v="New Product Launch"/>
    <n v="9087.6299999999992"/>
    <n v="65"/>
    <n v="8"/>
    <n v="37279.47"/>
    <n v="12.307700000000001"/>
    <n v="310.22213712486104"/>
    <s v="Positive"/>
  </r>
  <r>
    <d v="2025-10-22T00:00:00"/>
    <x v="3"/>
    <s v="Retargeting Campaign"/>
    <n v="12872.69"/>
    <n v="157"/>
    <n v="61"/>
    <n v="135587.57999999999"/>
    <n v="38.853499999999997"/>
    <n v="953.29639725651737"/>
    <s v="Positive"/>
  </r>
  <r>
    <d v="2025-06-05T00:00:00"/>
    <x v="1"/>
    <s v="Festival Offer"/>
    <n v="12197.6"/>
    <n v="55"/>
    <n v="9"/>
    <n v="51298.57"/>
    <n v="16.363600000000002"/>
    <n v="320.56281563586276"/>
    <s v="Positive"/>
  </r>
  <r>
    <d v="2025-11-30T00:00:00"/>
    <x v="2"/>
    <s v="Brand Awareness"/>
    <n v="11981.83"/>
    <n v="26"/>
    <n v="2"/>
    <n v="7904.13"/>
    <n v="7.6923000000000004"/>
    <n v="-34.032364004496806"/>
    <s v="Negative"/>
  </r>
  <r>
    <d v="2025-04-29T00:00:00"/>
    <x v="2"/>
    <s v="Lead Generation"/>
    <n v="11157.49"/>
    <n v="122"/>
    <n v="1"/>
    <n v="4654.87"/>
    <n v="0.81969999999999998"/>
    <n v="-58.280312149058609"/>
    <s v="Negative"/>
  </r>
  <r>
    <d v="2025-07-05T00:00:00"/>
    <x v="3"/>
    <s v="Festival Offer"/>
    <n v="13284.91"/>
    <n v="59"/>
    <n v="7"/>
    <n v="25569.23"/>
    <n v="11.8644"/>
    <n v="92.468221463299344"/>
    <s v="Positive"/>
  </r>
  <r>
    <d v="2025-06-10T00:00:00"/>
    <x v="1"/>
    <s v="Brand Awareness"/>
    <n v="12634.08"/>
    <n v="189"/>
    <n v="46"/>
    <n v="266790.58"/>
    <n v="24.3386"/>
    <n v="2011.6739802185837"/>
    <s v="Positive"/>
  </r>
  <r>
    <d v="2025-11-20T00:00:00"/>
    <x v="3"/>
    <s v="Brand Awareness"/>
    <n v="3260.45"/>
    <n v="213"/>
    <n v="55"/>
    <n v="214642.94"/>
    <n v="25.8216"/>
    <n v="6483.2305356622555"/>
    <s v="Positive"/>
  </r>
  <r>
    <d v="2025-03-15T00:00:00"/>
    <x v="2"/>
    <s v="Retargeting Campaign"/>
    <n v="10680.69"/>
    <n v="235"/>
    <n v="82"/>
    <n v="204855.15"/>
    <n v="34.893599999999999"/>
    <n v="1817.9954665850239"/>
    <s v="Positive"/>
  </r>
  <r>
    <d v="2025-05-22T00:00:00"/>
    <x v="4"/>
    <s v="New Product Launch"/>
    <n v="14302.52"/>
    <n v="98"/>
    <n v="15"/>
    <n v="28807.58"/>
    <n v="15.306100000000001"/>
    <n v="101.4161140833923"/>
    <s v="Positive"/>
  </r>
  <r>
    <d v="2025-12-11T00:00:00"/>
    <x v="3"/>
    <s v="Retargeting Campaign"/>
    <n v="14108.41"/>
    <n v="199"/>
    <n v="72"/>
    <n v="384935.57"/>
    <n v="36.180900000000001"/>
    <n v="2628.4121314875315"/>
    <s v="Positive"/>
  </r>
  <r>
    <d v="2025-05-07T00:00:00"/>
    <x v="4"/>
    <s v="Lead Generation"/>
    <n v="2545.6"/>
    <n v="27"/>
    <n v="3"/>
    <n v="13798.72"/>
    <n v="11.1111"/>
    <n v="442.06159648020116"/>
    <s v="Positive"/>
  </r>
  <r>
    <d v="2025-11-04T00:00:00"/>
    <x v="0"/>
    <s v="Festival Offer"/>
    <n v="12264.44"/>
    <n v="207"/>
    <n v="34"/>
    <n v="200444.84"/>
    <n v="16.4251"/>
    <n v="1534.3578671345776"/>
    <s v="Positive"/>
  </r>
  <r>
    <d v="2025-08-20T00:00:00"/>
    <x v="2"/>
    <s v="Retargeting Campaign"/>
    <n v="10179.959999999999"/>
    <n v="172"/>
    <n v="59"/>
    <n v="112889.33"/>
    <n v="34.302300000000002"/>
    <n v="1008.9368720505778"/>
    <s v="Positive"/>
  </r>
  <r>
    <d v="2025-03-05T00:00:00"/>
    <x v="3"/>
    <s v="Retargeting Campaign"/>
    <n v="12651.15"/>
    <n v="119"/>
    <n v="19"/>
    <n v="43042.89"/>
    <n v="15.9664"/>
    <n v="240.22907008453777"/>
    <s v="Positive"/>
  </r>
  <r>
    <d v="2025-04-02T00:00:00"/>
    <x v="1"/>
    <s v="Lead Generation"/>
    <n v="12138.43"/>
    <n v="164"/>
    <n v="39"/>
    <n v="173695.29"/>
    <n v="23.7805"/>
    <n v="1330.9535088145667"/>
    <s v="Positive"/>
  </r>
  <r>
    <d v="2025-12-01T00:00:00"/>
    <x v="2"/>
    <s v="Lead Generation"/>
    <n v="2576.2800000000002"/>
    <n v="48"/>
    <n v="18"/>
    <n v="28281.68"/>
    <n v="37.5"/>
    <n v="997.77198130637976"/>
    <s v="Positive"/>
  </r>
  <r>
    <d v="2025-12-02T00:00:00"/>
    <x v="3"/>
    <s v="Lead Generation"/>
    <n v="3346.01"/>
    <n v="57"/>
    <n v="14"/>
    <n v="16810.580000000002"/>
    <n v="24.561399999999999"/>
    <n v="402.40674714062425"/>
    <s v="Positive"/>
  </r>
  <r>
    <d v="2025-01-12T00:00:00"/>
    <x v="0"/>
    <s v="New Product Launch"/>
    <n v="5131.03"/>
    <n v="56"/>
    <n v="20"/>
    <n v="52587.13"/>
    <n v="35.714300000000001"/>
    <n v="924.88447738563218"/>
    <s v="Positive"/>
  </r>
  <r>
    <d v="2025-04-01T00:00:00"/>
    <x v="3"/>
    <s v="Festival Offer"/>
    <n v="1803.6"/>
    <n v="23"/>
    <n v="9"/>
    <n v="28821.81"/>
    <n v="39.130400000000002"/>
    <n v="1498.0156353958751"/>
    <s v="Positive"/>
  </r>
  <r>
    <d v="2025-12-05T00:00:00"/>
    <x v="2"/>
    <s v="Festival Offer"/>
    <n v="2591.54"/>
    <n v="165"/>
    <n v="48"/>
    <n v="181924.78"/>
    <n v="29.090900000000001"/>
    <n v="6919.9487563379307"/>
    <s v="Positive"/>
  </r>
  <r>
    <d v="2025-08-01T00:00:00"/>
    <x v="2"/>
    <s v="Brand Awareness"/>
    <n v="14323.11"/>
    <n v="128"/>
    <n v="36"/>
    <n v="107125.88"/>
    <n v="28.125"/>
    <n v="647.92332112229815"/>
    <s v="Positive"/>
  </r>
  <r>
    <d v="2025-08-25T00:00:00"/>
    <x v="0"/>
    <s v="Retargeting Campaign"/>
    <n v="1686.08"/>
    <n v="154"/>
    <n v="41"/>
    <n v="148854.06"/>
    <n v="26.6234"/>
    <n v="8728.4102770924273"/>
    <s v="Positive"/>
  </r>
  <r>
    <d v="2025-08-06T00:00:00"/>
    <x v="4"/>
    <s v="New Product Launch"/>
    <n v="8214.6"/>
    <n v="161"/>
    <n v="11"/>
    <n v="40628.25"/>
    <n v="6.8323"/>
    <n v="394.58585932364326"/>
    <s v="Positive"/>
  </r>
  <r>
    <d v="2025-06-25T00:00:00"/>
    <x v="1"/>
    <s v="Brand Awareness"/>
    <n v="12015.54"/>
    <n v="149"/>
    <n v="24"/>
    <n v="113864.79"/>
    <n v="16.107399999999998"/>
    <n v="847.6460483673643"/>
    <s v="Positive"/>
  </r>
  <r>
    <d v="2025-10-11T00:00:00"/>
    <x v="1"/>
    <s v="New Product Launch"/>
    <n v="12064.68"/>
    <n v="38"/>
    <n v="6"/>
    <n v="11098.84"/>
    <n v="15.7895"/>
    <n v="-8.0055169304117495"/>
    <s v="Negative"/>
  </r>
  <r>
    <d v="2025-02-07T00:00:00"/>
    <x v="3"/>
    <s v="Brand Awareness"/>
    <n v="6733.7"/>
    <n v="249"/>
    <n v="26"/>
    <n v="128354.06"/>
    <n v="10.441800000000001"/>
    <n v="1806.1446158872538"/>
    <s v="Positive"/>
  </r>
  <r>
    <d v="2025-10-29T00:00:00"/>
    <x v="4"/>
    <s v="New Product Launch"/>
    <n v="2126.6799999999998"/>
    <n v="152"/>
    <n v="31"/>
    <n v="43636.05"/>
    <n v="20.3947"/>
    <n v="1951.8390166832812"/>
    <s v="Positive"/>
  </r>
  <r>
    <d v="2025-10-05T00:00:00"/>
    <x v="2"/>
    <s v="Brand Awareness"/>
    <n v="8976.76"/>
    <n v="126"/>
    <n v="43"/>
    <n v="253452.12"/>
    <n v="34.127000000000002"/>
    <n v="2723.425378421613"/>
    <s v="Positive"/>
  </r>
  <r>
    <d v="2025-06-29T00:00:00"/>
    <x v="1"/>
    <s v="Lead Generation"/>
    <n v="8241.7099999999991"/>
    <n v="88"/>
    <n v="15"/>
    <n v="38397.040000000001"/>
    <n v="17.045500000000001"/>
    <n v="365.88681232414154"/>
    <s v="Positive"/>
  </r>
  <r>
    <d v="2025-07-20T00:00:00"/>
    <x v="2"/>
    <s v="Lead Generation"/>
    <n v="2008.1"/>
    <n v="60"/>
    <n v="7"/>
    <n v="25703.9"/>
    <n v="11.666700000000001"/>
    <n v="1180.0109556296998"/>
    <s v="Positive"/>
  </r>
  <r>
    <d v="2025-09-16T00:00:00"/>
    <x v="4"/>
    <s v="Brand Awareness"/>
    <n v="1824.66"/>
    <n v="228"/>
    <n v="7"/>
    <n v="22495.19"/>
    <n v="3.0701999999999998"/>
    <n v="1132.8428309931712"/>
    <s v="Positive"/>
  </r>
  <r>
    <d v="2025-03-01T00:00:00"/>
    <x v="3"/>
    <s v="Lead Generation"/>
    <n v="13768.72"/>
    <n v="63"/>
    <n v="24"/>
    <n v="123271.16"/>
    <n v="38.095199999999998"/>
    <n v="795.29861889848883"/>
    <s v="Positive"/>
  </r>
  <r>
    <d v="2025-08-28T00:00:00"/>
    <x v="0"/>
    <s v="Brand Awareness"/>
    <n v="11493.31"/>
    <n v="155"/>
    <n v="13"/>
    <n v="70631.41"/>
    <n v="8.3871000000000002"/>
    <n v="514.54367801790784"/>
    <s v="Positive"/>
  </r>
  <r>
    <d v="2025-08-17T00:00:00"/>
    <x v="0"/>
    <s v="Retargeting Campaign"/>
    <n v="14506.36"/>
    <n v="59"/>
    <n v="14"/>
    <n v="59497.82"/>
    <n v="23.7288"/>
    <n v="310.1498928745736"/>
    <s v="Positive"/>
  </r>
  <r>
    <d v="2025-01-18T00:00:00"/>
    <x v="4"/>
    <s v="Lead Generation"/>
    <n v="11432.39"/>
    <n v="170"/>
    <n v="17"/>
    <n v="54821.29"/>
    <n v="10"/>
    <n v="379.52606585324679"/>
    <s v="Positive"/>
  </r>
  <r>
    <d v="2025-03-25T00:00:00"/>
    <x v="0"/>
    <s v="Lead Generation"/>
    <n v="3844.43"/>
    <n v="124"/>
    <n v="21"/>
    <n v="94701.36"/>
    <n v="16.935500000000001"/>
    <n v="2363.3394287319579"/>
    <s v="Positive"/>
  </r>
  <r>
    <d v="2025-05-25T00:00:00"/>
    <x v="3"/>
    <s v="Lead Generation"/>
    <n v="13279.85"/>
    <n v="227"/>
    <n v="64"/>
    <n v="343119.6"/>
    <n v="28.1938"/>
    <n v="2483.7611117595452"/>
    <s v="Positive"/>
  </r>
  <r>
    <d v="2025-10-05T00:00:00"/>
    <x v="1"/>
    <s v="Festival Offer"/>
    <n v="5893.59"/>
    <n v="39"/>
    <n v="4"/>
    <n v="8600.77"/>
    <n v="10.256399999999999"/>
    <n v="45.934311684389314"/>
    <s v="Positive"/>
  </r>
  <r>
    <d v="2025-01-02T00:00:00"/>
    <x v="0"/>
    <s v="Retargeting Campaign"/>
    <n v="14476.52"/>
    <n v="222"/>
    <n v="15"/>
    <n v="83096.19"/>
    <n v="6.7568000000000001"/>
    <n v="474.00666734823005"/>
    <s v="Positive"/>
  </r>
  <r>
    <d v="2025-01-05T00:00:00"/>
    <x v="4"/>
    <s v="New Product Launch"/>
    <n v="5761.79"/>
    <n v="209"/>
    <n v="79"/>
    <n v="166267.79"/>
    <n v="37.798999999999999"/>
    <n v="2785.6968060272939"/>
    <s v="Positive"/>
  </r>
  <r>
    <d v="2025-12-02T00:00:00"/>
    <x v="1"/>
    <s v="Festival Offer"/>
    <n v="12370.09"/>
    <n v="69"/>
    <n v="18"/>
    <n v="36271.800000000003"/>
    <n v="26.087"/>
    <n v="193.22179547602323"/>
    <s v="Positive"/>
  </r>
  <r>
    <d v="2025-03-22T00:00:00"/>
    <x v="2"/>
    <s v="New Product Launch"/>
    <n v="5357.89"/>
    <n v="29"/>
    <n v="5"/>
    <n v="6562.99"/>
    <n v="17.241399999999999"/>
    <n v="22.492063106932008"/>
    <s v="Positive"/>
  </r>
  <r>
    <d v="2025-10-02T00:00:00"/>
    <x v="4"/>
    <s v="Brand Awareness"/>
    <n v="4029.8"/>
    <n v="86"/>
    <n v="24"/>
    <n v="40881.06"/>
    <n v="27.907"/>
    <n v="914.46870812447264"/>
    <s v="Positive"/>
  </r>
  <r>
    <d v="2025-12-24T00:00:00"/>
    <x v="0"/>
    <s v="Retargeting Campaign"/>
    <n v="6494.09"/>
    <n v="144"/>
    <n v="18"/>
    <n v="67412.47"/>
    <n v="12.5"/>
    <n v="938.05875804000254"/>
    <s v="Positive"/>
  </r>
  <r>
    <d v="2025-10-29T00:00:00"/>
    <x v="1"/>
    <s v="Festival Offer"/>
    <n v="10560.04"/>
    <n v="88"/>
    <n v="18"/>
    <n v="94686.080000000002"/>
    <n v="20.454499999999999"/>
    <n v="796.64508846557396"/>
    <s v="Positive"/>
  </r>
  <r>
    <d v="2025-04-22T00:00:00"/>
    <x v="4"/>
    <s v="Brand Awareness"/>
    <n v="11156"/>
    <n v="64"/>
    <n v="12"/>
    <n v="21439.05"/>
    <n v="18.75"/>
    <n v="92.175062746504125"/>
    <s v="Positive"/>
  </r>
  <r>
    <d v="2025-01-10T00:00:00"/>
    <x v="2"/>
    <s v="Retargeting Campaign"/>
    <n v="14061.28"/>
    <n v="245"/>
    <n v="79"/>
    <n v="162780.70000000001"/>
    <n v="32.244900000000001"/>
    <n v="1057.6520771935413"/>
    <s v="Positive"/>
  </r>
  <r>
    <d v="2025-03-07T00:00:00"/>
    <x v="0"/>
    <s v="Festival Offer"/>
    <n v="13925.32"/>
    <n v="57"/>
    <n v="18"/>
    <n v="25143.63"/>
    <n v="31.578900000000001"/>
    <n v="80.560518537455522"/>
    <s v="Positive"/>
  </r>
  <r>
    <d v="2025-02-26T00:00:00"/>
    <x v="1"/>
    <s v="Retargeting Campaign"/>
    <n v="6526.7"/>
    <n v="187"/>
    <n v="35"/>
    <n v="93840.85"/>
    <n v="18.7166"/>
    <n v="1337.7993472964899"/>
    <s v="Positive"/>
  </r>
  <r>
    <d v="2025-09-13T00:00:00"/>
    <x v="2"/>
    <s v="Lead Generation"/>
    <n v="11686.86"/>
    <n v="193"/>
    <n v="48"/>
    <n v="123950.21"/>
    <n v="24.8705"/>
    <n v="960.59463363127475"/>
    <s v="Positive"/>
  </r>
  <r>
    <d v="2025-06-21T00:00:00"/>
    <x v="0"/>
    <s v="Retargeting Campaign"/>
    <n v="11486.76"/>
    <n v="38"/>
    <n v="15"/>
    <n v="55999.51"/>
    <n v="39.473700000000001"/>
    <n v="387.51353732471119"/>
    <s v="Positive"/>
  </r>
  <r>
    <d v="2025-12-12T00:00:00"/>
    <x v="2"/>
    <s v="Brand Awareness"/>
    <n v="12182.29"/>
    <n v="54"/>
    <n v="5"/>
    <n v="16309.2"/>
    <n v="9.2592999999999996"/>
    <n v="33.876307328096765"/>
    <s v="Positive"/>
  </r>
  <r>
    <d v="2025-03-28T00:00:00"/>
    <x v="2"/>
    <s v="Festival Offer"/>
    <n v="10619.73"/>
    <n v="57"/>
    <n v="1"/>
    <n v="1924.32"/>
    <n v="1.7544"/>
    <n v="-81.879765304767631"/>
    <s v="Negative"/>
  </r>
  <r>
    <d v="2025-11-19T00:00:00"/>
    <x v="3"/>
    <s v="Festival Offer"/>
    <n v="10351.64"/>
    <n v="203"/>
    <n v="47"/>
    <n v="171681.82"/>
    <n v="23.152699999999999"/>
    <n v="1558.4987499565286"/>
    <s v="Positive"/>
  </r>
  <r>
    <d v="2025-06-03T00:00:00"/>
    <x v="3"/>
    <s v="Lead Generation"/>
    <n v="2257.73"/>
    <n v="225"/>
    <n v="72"/>
    <n v="351779.25"/>
    <n v="32"/>
    <n v="15481.103586345576"/>
    <s v="Positive"/>
  </r>
  <r>
    <d v="2025-08-01T00:00:00"/>
    <x v="4"/>
    <s v="Retargeting Campaign"/>
    <n v="10324.92"/>
    <n v="238"/>
    <n v="1"/>
    <n v="5775.11"/>
    <n v="0.42020000000000002"/>
    <n v="-44.06629785024969"/>
    <s v="Negative"/>
  </r>
  <r>
    <d v="2025-11-25T00:00:00"/>
    <x v="1"/>
    <s v="Retargeting Campaign"/>
    <n v="7418.74"/>
    <n v="112"/>
    <n v="24"/>
    <n v="60062.239999999998"/>
    <n v="21.428599999999999"/>
    <n v="709.60163046555078"/>
    <s v="Positive"/>
  </r>
  <r>
    <d v="2025-12-09T00:00:00"/>
    <x v="4"/>
    <s v="Retargeting Campaign"/>
    <n v="2203.9699999999998"/>
    <n v="163"/>
    <n v="61"/>
    <n v="171159.61"/>
    <n v="37.423299999999998"/>
    <n v="7665.9682300575778"/>
    <s v="Positive"/>
  </r>
  <r>
    <d v="2025-04-13T00:00:00"/>
    <x v="1"/>
    <s v="Lead Generation"/>
    <n v="8979.43"/>
    <n v="88"/>
    <n v="32"/>
    <n v="119751.19"/>
    <n v="36.363599999999998"/>
    <n v="1233.6168331397428"/>
    <s v="Positive"/>
  </r>
  <r>
    <d v="2025-02-14T00:00:00"/>
    <x v="2"/>
    <s v="Festival Offer"/>
    <n v="2205.73"/>
    <n v="64"/>
    <n v="15"/>
    <n v="41856.239999999998"/>
    <n v="23.4375"/>
    <n v="1797.6139418695848"/>
    <s v="Positive"/>
  </r>
  <r>
    <d v="2025-11-07T00:00:00"/>
    <x v="0"/>
    <s v="Retargeting Campaign"/>
    <n v="5733.06"/>
    <n v="68"/>
    <n v="18"/>
    <n v="79408.149999999994"/>
    <n v="26.470600000000001"/>
    <n v="1285.0919055443339"/>
    <s v="Positive"/>
  </r>
  <r>
    <d v="2025-12-11T00:00:00"/>
    <x v="2"/>
    <s v="Retargeting Campaign"/>
    <n v="11335.44"/>
    <n v="189"/>
    <n v="12"/>
    <n v="43532.25"/>
    <n v="6.3491999999999997"/>
    <n v="284.03670258940099"/>
    <s v="Positive"/>
  </r>
  <r>
    <d v="2025-03-11T00:00:00"/>
    <x v="2"/>
    <s v="Brand Awareness"/>
    <n v="8867.1299999999992"/>
    <n v="54"/>
    <n v="7"/>
    <n v="23865.46"/>
    <n v="12.962999999999999"/>
    <n v="169.14525895075408"/>
    <s v="Positive"/>
  </r>
  <r>
    <d v="2025-11-06T00:00:00"/>
    <x v="1"/>
    <s v="Lead Generation"/>
    <n v="12501.61"/>
    <n v="177"/>
    <n v="66"/>
    <n v="96929.46"/>
    <n v="37.2881"/>
    <n v="675.33581674680306"/>
    <s v="Positive"/>
  </r>
  <r>
    <d v="2025-06-22T00:00:00"/>
    <x v="4"/>
    <s v="Brand Awareness"/>
    <n v="2111.0700000000002"/>
    <n v="221"/>
    <n v="47"/>
    <n v="159292"/>
    <n v="21.266999999999999"/>
    <n v="7445.5574661190767"/>
    <s v="Positive"/>
  </r>
  <r>
    <d v="2025-04-30T00:00:00"/>
    <x v="4"/>
    <s v="Festival Offer"/>
    <n v="8496.17"/>
    <n v="157"/>
    <n v="32"/>
    <n v="46890.080000000002"/>
    <n v="20.382200000000001"/>
    <n v="451.89667815027246"/>
    <s v="Positive"/>
  </r>
  <r>
    <d v="2025-01-31T00:00:00"/>
    <x v="2"/>
    <s v="New Product Launch"/>
    <n v="3321.91"/>
    <n v="55"/>
    <n v="12"/>
    <n v="34753.64"/>
    <n v="21.818200000000001"/>
    <n v="946.19450858090681"/>
    <s v="Positive"/>
  </r>
  <r>
    <d v="2025-09-04T00:00:00"/>
    <x v="4"/>
    <s v="Brand Awareness"/>
    <n v="2508.34"/>
    <n v="185"/>
    <n v="20"/>
    <n v="80522.59"/>
    <n v="10.8108"/>
    <n v="3110.1943915099228"/>
    <s v="Positive"/>
  </r>
  <r>
    <d v="2025-02-19T00:00:00"/>
    <x v="1"/>
    <s v="Brand Awareness"/>
    <n v="13017.27"/>
    <n v="185"/>
    <n v="73"/>
    <n v="254505.52"/>
    <n v="39.459499999999998"/>
    <n v="1855.137444333566"/>
    <s v="Positive"/>
  </r>
  <r>
    <d v="2025-10-04T00:00:00"/>
    <x v="1"/>
    <s v="Retargeting Campaign"/>
    <n v="13209.4"/>
    <n v="31"/>
    <n v="7"/>
    <n v="32750.01"/>
    <n v="22.5806"/>
    <n v="147.92958045028541"/>
    <s v="Positive"/>
  </r>
  <r>
    <d v="2025-09-24T00:00:00"/>
    <x v="4"/>
    <s v="Lead Generation"/>
    <n v="9777.86"/>
    <n v="148"/>
    <n v="50"/>
    <n v="154580.65"/>
    <n v="33.783799999999999"/>
    <n v="1480.9251717656007"/>
    <s v="Positive"/>
  </r>
  <r>
    <d v="2025-07-07T00:00:00"/>
    <x v="2"/>
    <s v="Lead Generation"/>
    <n v="6503.97"/>
    <n v="239"/>
    <n v="50"/>
    <n v="258272.21"/>
    <n v="20.920500000000001"/>
    <n v="3870.9932548889369"/>
    <s v="Positive"/>
  </r>
  <r>
    <d v="2025-08-18T00:00:00"/>
    <x v="1"/>
    <s v="New Product Launch"/>
    <n v="6258.89"/>
    <n v="145"/>
    <n v="14"/>
    <n v="54087.31"/>
    <n v="9.6552000000000007"/>
    <n v="764.167767767128"/>
    <s v="Positive"/>
  </r>
  <r>
    <d v="2025-12-16T00:00:00"/>
    <x v="3"/>
    <s v="Retargeting Campaign"/>
    <n v="4198.58"/>
    <n v="74"/>
    <n v="3"/>
    <n v="5285.11"/>
    <n v="4.0541"/>
    <n v="25.878511306203521"/>
    <s v="Positive"/>
  </r>
  <r>
    <d v="2025-11-28T00:00:00"/>
    <x v="2"/>
    <s v="Retargeting Campaign"/>
    <n v="10768.12"/>
    <n v="187"/>
    <n v="28"/>
    <n v="104835.23"/>
    <n v="14.9733"/>
    <n v="873.57040969082811"/>
    <s v="Positive"/>
  </r>
  <r>
    <d v="2025-07-02T00:00:00"/>
    <x v="2"/>
    <s v="New Product Launch"/>
    <n v="8266.11"/>
    <n v="213"/>
    <n v="6"/>
    <n v="26049.98"/>
    <n v="2.8169"/>
    <n v="215.14194705853177"/>
    <s v="Positive"/>
  </r>
  <r>
    <d v="2025-08-27T00:00:00"/>
    <x v="0"/>
    <s v="New Product Launch"/>
    <n v="3512.23"/>
    <n v="177"/>
    <n v="2"/>
    <n v="10115.200000000001"/>
    <n v="1.1298999999999999"/>
    <n v="187.9993622285557"/>
    <s v="Positive"/>
  </r>
  <r>
    <d v="2025-12-23T00:00:00"/>
    <x v="0"/>
    <s v="Brand Awareness"/>
    <n v="3595.06"/>
    <n v="237"/>
    <n v="45"/>
    <n v="204131.65"/>
    <n v="18.987300000000001"/>
    <n v="5578.1152470334291"/>
    <s v="Positive"/>
  </r>
  <r>
    <d v="2025-09-23T00:00:00"/>
    <x v="2"/>
    <s v="New Product Launch"/>
    <n v="14408.9"/>
    <n v="107"/>
    <n v="20"/>
    <n v="111537.01"/>
    <n v="18.691600000000001"/>
    <n v="674.0841424397421"/>
    <s v="Positive"/>
  </r>
  <r>
    <d v="2025-10-09T00:00:00"/>
    <x v="2"/>
    <s v="Retargeting Campaign"/>
    <n v="12318.31"/>
    <n v="195"/>
    <n v="7"/>
    <n v="16617.13"/>
    <n v="3.5897000000000001"/>
    <n v="34.89780659847009"/>
    <s v="Positive"/>
  </r>
  <r>
    <d v="2025-11-15T00:00:00"/>
    <x v="1"/>
    <s v="Festival Offer"/>
    <n v="9484.42"/>
    <n v="190"/>
    <n v="60"/>
    <n v="152667.79999999999"/>
    <n v="31.578900000000001"/>
    <n v="1509.669331387686"/>
    <s v="Positive"/>
  </r>
  <r>
    <d v="2025-07-20T00:00:00"/>
    <x v="1"/>
    <s v="Lead Generation"/>
    <n v="13458.36"/>
    <n v="24"/>
    <n v="9"/>
    <n v="46196.51"/>
    <n v="37.5"/>
    <n v="243.25512172359782"/>
    <s v="Positive"/>
  </r>
  <r>
    <d v="2025-10-07T00:00:00"/>
    <x v="1"/>
    <s v="New Product Launch"/>
    <n v="2738.82"/>
    <n v="196"/>
    <n v="64"/>
    <n v="249352.93"/>
    <n v="32.653100000000002"/>
    <n v="9004.392767688274"/>
    <s v="Positive"/>
  </r>
  <r>
    <d v="2025-10-06T00:00:00"/>
    <x v="1"/>
    <s v="Brand Awareness"/>
    <n v="13847.02"/>
    <n v="168"/>
    <n v="5"/>
    <n v="13150.08"/>
    <n v="2.9762"/>
    <n v="-5.0331407046425909"/>
    <s v="Negative"/>
  </r>
  <r>
    <d v="2025-04-22T00:00:00"/>
    <x v="0"/>
    <s v="Festival Offer"/>
    <n v="6966.32"/>
    <n v="175"/>
    <n v="38"/>
    <n v="218391.56"/>
    <n v="21.714300000000001"/>
    <n v="3034.9630795025205"/>
    <s v="Positive"/>
  </r>
  <r>
    <d v="2025-05-16T00:00:00"/>
    <x v="3"/>
    <s v="New Product Launch"/>
    <n v="6443.75"/>
    <n v="243"/>
    <n v="97"/>
    <n v="183331.61"/>
    <n v="39.917700000000004"/>
    <n v="2745.1074296799225"/>
    <s v="Positive"/>
  </r>
  <r>
    <d v="2025-06-18T00:00:00"/>
    <x v="4"/>
    <s v="New Product Launch"/>
    <n v="5782.65"/>
    <n v="131"/>
    <n v="33"/>
    <n v="98638.48"/>
    <n v="25.190799999999999"/>
    <n v="1605.7660415207561"/>
    <s v="Positive"/>
  </r>
  <r>
    <d v="2025-12-17T00:00:00"/>
    <x v="0"/>
    <s v="Lead Generation"/>
    <n v="4193.91"/>
    <n v="188"/>
    <n v="29"/>
    <n v="114500.45"/>
    <n v="15.4255"/>
    <n v="2630.1599223636176"/>
    <s v="Positive"/>
  </r>
  <r>
    <d v="2025-04-26T00:00:00"/>
    <x v="0"/>
    <s v="Brand Awareness"/>
    <n v="4028.99"/>
    <n v="175"/>
    <n v="20"/>
    <n v="117397.96"/>
    <n v="11.428599999999999"/>
    <n v="2813.8310097567878"/>
    <s v="Positive"/>
  </r>
  <r>
    <d v="2025-02-05T00:00:00"/>
    <x v="1"/>
    <s v="New Product Launch"/>
    <n v="4369.91"/>
    <n v="57"/>
    <n v="4"/>
    <n v="22689.599999999999"/>
    <n v="7.0175000000000001"/>
    <n v="419.22350803563455"/>
    <s v="Positive"/>
  </r>
  <r>
    <d v="2025-07-22T00:00:00"/>
    <x v="0"/>
    <s v="Retargeting Campaign"/>
    <n v="6307.61"/>
    <n v="231"/>
    <n v="21"/>
    <n v="49473.18"/>
    <n v="9.0908999999999995"/>
    <n v="684.34113713435045"/>
    <s v="Positive"/>
  </r>
  <r>
    <d v="2025-09-14T00:00:00"/>
    <x v="4"/>
    <s v="Brand Awareness"/>
    <n v="8326.9699999999993"/>
    <n v="131"/>
    <n v="42"/>
    <n v="168676.46"/>
    <n v="32.061100000000003"/>
    <n v="1925.6643172726695"/>
    <s v="Positive"/>
  </r>
  <r>
    <d v="2025-11-07T00:00:00"/>
    <x v="2"/>
    <s v="New Product Launch"/>
    <n v="4358.66"/>
    <n v="141"/>
    <n v="10"/>
    <n v="10226.4"/>
    <n v="7.0922000000000001"/>
    <n v="134.62256748633754"/>
    <s v="Positive"/>
  </r>
  <r>
    <d v="2025-02-09T00:00:00"/>
    <x v="0"/>
    <s v="Retargeting Campaign"/>
    <n v="1624.72"/>
    <n v="217"/>
    <n v="23"/>
    <n v="52549.81"/>
    <n v="10.5991"/>
    <n v="3134.3917721207345"/>
    <s v="Positive"/>
  </r>
  <r>
    <d v="2025-12-16T00:00:00"/>
    <x v="1"/>
    <s v="Brand Awareness"/>
    <n v="8846.4699999999993"/>
    <n v="41"/>
    <n v="13"/>
    <n v="51823.7"/>
    <n v="31.7073"/>
    <n v="485.81219401637037"/>
    <s v="Positive"/>
  </r>
  <r>
    <d v="2025-02-06T00:00:00"/>
    <x v="1"/>
    <s v="Retargeting Campaign"/>
    <n v="14204.49"/>
    <n v="113"/>
    <n v="30"/>
    <n v="168284.17"/>
    <n v="26.5487"/>
    <n v="1084.7251819671105"/>
    <s v="Positive"/>
  </r>
  <r>
    <d v="2025-10-07T00:00:00"/>
    <x v="3"/>
    <s v="Lead Generation"/>
    <n v="14191.11"/>
    <n v="211"/>
    <n v="53"/>
    <n v="223795.35"/>
    <n v="25.118500000000001"/>
    <n v="1477.0108892116261"/>
    <s v="Positive"/>
  </r>
  <r>
    <d v="2025-04-05T00:00:00"/>
    <x v="0"/>
    <s v="Festival Offer"/>
    <n v="1014.56"/>
    <n v="55"/>
    <n v="20"/>
    <n v="116723.31"/>
    <n v="36.363599999999998"/>
    <n v="11404.820809020661"/>
    <s v="Positive"/>
  </r>
  <r>
    <d v="2025-12-27T00:00:00"/>
    <x v="3"/>
    <s v="Retargeting Campaign"/>
    <n v="12796.65"/>
    <n v="221"/>
    <n v="64"/>
    <n v="97197.68"/>
    <n v="28.959299999999999"/>
    <n v="659.55566495918856"/>
    <s v="Positive"/>
  </r>
  <r>
    <d v="2025-09-06T00:00:00"/>
    <x v="4"/>
    <s v="New Product Launch"/>
    <n v="2868.05"/>
    <n v="225"/>
    <n v="83"/>
    <n v="425910.4"/>
    <n v="36.8889"/>
    <n v="14750.173462805738"/>
    <s v="Positive"/>
  </r>
  <r>
    <d v="2025-02-22T00:00:00"/>
    <x v="0"/>
    <s v="Retargeting Campaign"/>
    <n v="4715"/>
    <n v="190"/>
    <n v="36"/>
    <n v="130972.78"/>
    <n v="18.947399999999998"/>
    <n v="2677.7896076352067"/>
    <s v="Positive"/>
  </r>
  <r>
    <d v="2025-12-19T00:00:00"/>
    <x v="3"/>
    <s v="Lead Generation"/>
    <n v="13196.1"/>
    <n v="53"/>
    <n v="4"/>
    <n v="14654.73"/>
    <n v="7.5472000000000001"/>
    <n v="11.053493077500164"/>
    <s v="Positive"/>
  </r>
  <r>
    <d v="2025-08-29T00:00:00"/>
    <x v="3"/>
    <s v="Retargeting Campaign"/>
    <n v="4158.3100000000004"/>
    <n v="170"/>
    <n v="4"/>
    <n v="17262.62"/>
    <n v="2.3529"/>
    <n v="315.13547571008405"/>
    <s v="Positive"/>
  </r>
  <r>
    <d v="2025-03-05T00:00:00"/>
    <x v="3"/>
    <s v="Retargeting Campaign"/>
    <n v="5783.52"/>
    <n v="63"/>
    <n v="5"/>
    <n v="19962.54"/>
    <n v="7.9364999999999997"/>
    <n v="245.16246161507178"/>
    <s v="Positive"/>
  </r>
  <r>
    <d v="2025-03-10T00:00:00"/>
    <x v="3"/>
    <s v="Retargeting Campaign"/>
    <n v="13143.3"/>
    <n v="33"/>
    <n v="5"/>
    <n v="28627.39"/>
    <n v="15.1515"/>
    <n v="117.80975858422163"/>
    <s v="Positive"/>
  </r>
  <r>
    <d v="2025-02-11T00:00:00"/>
    <x v="4"/>
    <s v="Retargeting Campaign"/>
    <n v="13311.93"/>
    <n v="144"/>
    <n v="16"/>
    <n v="51226.82"/>
    <n v="11.1111"/>
    <n v="284.81888050793532"/>
    <s v="Positive"/>
  </r>
  <r>
    <d v="2025-04-14T00:00:00"/>
    <x v="3"/>
    <s v="Brand Awareness"/>
    <n v="12462.18"/>
    <n v="67"/>
    <n v="10"/>
    <n v="58513.16"/>
    <n v="14.9254"/>
    <n v="369.5258774949487"/>
    <s v="Positive"/>
  </r>
  <r>
    <d v="2025-10-27T00:00:00"/>
    <x v="0"/>
    <s v="Brand Awareness"/>
    <n v="2369.66"/>
    <n v="165"/>
    <n v="14"/>
    <n v="21434.06"/>
    <n v="8.4847999999999999"/>
    <n v="804.52047973126957"/>
    <s v="Positive"/>
  </r>
  <r>
    <d v="2025-08-28T00:00:00"/>
    <x v="2"/>
    <s v="New Product Launch"/>
    <n v="1649.91"/>
    <n v="151"/>
    <n v="20"/>
    <n v="91704.86"/>
    <n v="13.244999999999999"/>
    <n v="5458.1734761290008"/>
    <s v="Positive"/>
  </r>
  <r>
    <d v="2025-08-02T00:00:00"/>
    <x v="2"/>
    <s v="Festival Offer"/>
    <n v="13068.31"/>
    <n v="238"/>
    <n v="29"/>
    <n v="134590.04"/>
    <n v="12.184900000000001"/>
    <n v="929.8962911042056"/>
    <s v="Positive"/>
  </r>
  <r>
    <d v="2025-01-12T00:00:00"/>
    <x v="2"/>
    <s v="Brand Awareness"/>
    <n v="12313.95"/>
    <n v="54"/>
    <n v="7"/>
    <n v="16395.990000000002"/>
    <n v="12.962999999999999"/>
    <n v="33.149720439014295"/>
    <s v="Positive"/>
  </r>
  <r>
    <d v="2025-09-02T00:00:00"/>
    <x v="2"/>
    <s v="Brand Awareness"/>
    <n v="6558.02"/>
    <n v="194"/>
    <n v="46"/>
    <n v="214426.08"/>
    <n v="23.711300000000001"/>
    <n v="3169.6771281575839"/>
    <s v="Positive"/>
  </r>
  <r>
    <d v="2025-12-15T00:00:00"/>
    <x v="2"/>
    <s v="New Product Launch"/>
    <n v="8950.5300000000007"/>
    <n v="181"/>
    <n v="6"/>
    <n v="24515.34"/>
    <n v="3.3149000000000002"/>
    <n v="173.8981937382479"/>
    <s v="Positive"/>
  </r>
  <r>
    <d v="2025-09-16T00:00:00"/>
    <x v="3"/>
    <s v="Retargeting Campaign"/>
    <n v="12916.22"/>
    <n v="72"/>
    <n v="21"/>
    <n v="31900.62"/>
    <n v="29.166699999999999"/>
    <n v="146.98108270066632"/>
    <s v="Positive"/>
  </r>
  <r>
    <d v="2025-01-06T00:00:00"/>
    <x v="3"/>
    <s v="Brand Awareness"/>
    <n v="11148.13"/>
    <n v="97"/>
    <n v="2"/>
    <n v="6286.3"/>
    <n v="2.0619000000000001"/>
    <n v="-43.611170662703067"/>
    <s v="Negative"/>
  </r>
  <r>
    <d v="2025-02-19T00:00:00"/>
    <x v="2"/>
    <s v="Retargeting Campaign"/>
    <n v="3438.24"/>
    <n v="60"/>
    <n v="12"/>
    <n v="24439.3"/>
    <n v="20"/>
    <n v="610.80843687467996"/>
    <s v="Positive"/>
  </r>
  <r>
    <d v="2025-06-07T00:00:00"/>
    <x v="2"/>
    <s v="Brand Awareness"/>
    <n v="2706.95"/>
    <n v="70"/>
    <n v="1"/>
    <n v="4851.6499999999996"/>
    <n v="1.4286000000000001"/>
    <n v="79.229391012024593"/>
    <s v="Positive"/>
  </r>
  <r>
    <d v="2025-05-09T00:00:00"/>
    <x v="1"/>
    <s v="New Product Launch"/>
    <n v="12119.24"/>
    <n v="44"/>
    <n v="16"/>
    <n v="35748.32"/>
    <n v="36.363599999999998"/>
    <n v="194.97163188450764"/>
    <s v="Positive"/>
  </r>
  <r>
    <d v="2025-12-31T00:00:00"/>
    <x v="4"/>
    <s v="Brand Awareness"/>
    <n v="5553.81"/>
    <n v="201"/>
    <n v="39"/>
    <n v="233384.61"/>
    <n v="19.402999999999999"/>
    <n v="4102.2433248526686"/>
    <s v="Positive"/>
  </r>
  <r>
    <d v="2025-01-16T00:00:00"/>
    <x v="0"/>
    <s v="New Product Launch"/>
    <n v="9983.39"/>
    <n v="221"/>
    <n v="8"/>
    <n v="40841.769999999997"/>
    <n v="3.6198999999999999"/>
    <n v="309.09721046658501"/>
    <s v="Positive"/>
  </r>
  <r>
    <d v="2025-05-19T00:00:00"/>
    <x v="0"/>
    <s v="Lead Generation"/>
    <n v="5850.93"/>
    <n v="168"/>
    <n v="57"/>
    <n v="299214.8"/>
    <n v="33.928600000000003"/>
    <n v="5013.9699158937119"/>
    <s v="Positive"/>
  </r>
  <r>
    <d v="2025-06-18T00:00:00"/>
    <x v="2"/>
    <s v="Festival Offer"/>
    <n v="9942.2999999999993"/>
    <n v="35"/>
    <n v="9"/>
    <n v="50999.519999999997"/>
    <n v="25.714300000000001"/>
    <n v="412.95495006185695"/>
    <s v="Positive"/>
  </r>
  <r>
    <d v="2025-09-13T00:00:00"/>
    <x v="4"/>
    <s v="Festival Offer"/>
    <n v="6110.93"/>
    <n v="46"/>
    <n v="11"/>
    <n v="15280.26"/>
    <n v="23.913"/>
    <n v="150.04802869612317"/>
    <s v="Positive"/>
  </r>
  <r>
    <d v="2025-07-15T00:00:00"/>
    <x v="2"/>
    <s v="Retargeting Campaign"/>
    <n v="7781.82"/>
    <n v="187"/>
    <n v="57"/>
    <n v="328945.8"/>
    <n v="30.481300000000001"/>
    <n v="4127.1062553490056"/>
    <s v="Positive"/>
  </r>
  <r>
    <d v="2025-11-18T00:00:00"/>
    <x v="3"/>
    <s v="Retargeting Campaign"/>
    <n v="11996.6"/>
    <n v="73"/>
    <n v="16"/>
    <n v="18569.259999999998"/>
    <n v="21.9178"/>
    <n v="54.7876898454562"/>
    <s v="Positive"/>
  </r>
  <r>
    <d v="2025-01-06T00:00:00"/>
    <x v="4"/>
    <s v="Brand Awareness"/>
    <n v="8764.66"/>
    <n v="105"/>
    <n v="12"/>
    <n v="49832.18"/>
    <n v="11.428599999999999"/>
    <n v="468.55805016965866"/>
    <s v="Positive"/>
  </r>
  <r>
    <d v="2025-10-05T00:00:00"/>
    <x v="0"/>
    <s v="Festival Offer"/>
    <n v="7543.2"/>
    <n v="192"/>
    <n v="29"/>
    <n v="53136.22"/>
    <n v="15.104200000000001"/>
    <n v="604.42544278290381"/>
    <s v="Positive"/>
  </r>
  <r>
    <d v="2025-06-15T00:00:00"/>
    <x v="2"/>
    <s v="Brand Awareness"/>
    <n v="9186.5400000000009"/>
    <n v="183"/>
    <n v="38"/>
    <n v="186292.73"/>
    <n v="20.765000000000001"/>
    <n v="1927.8878663784187"/>
    <s v="Positive"/>
  </r>
  <r>
    <d v="2025-07-06T00:00:00"/>
    <x v="4"/>
    <s v="Brand Awareness"/>
    <n v="5363.86"/>
    <n v="241"/>
    <n v="78"/>
    <n v="263082.67"/>
    <n v="32.365099999999998"/>
    <n v="4804.7266334318938"/>
    <s v="Positive"/>
  </r>
  <r>
    <d v="2025-11-17T00:00:00"/>
    <x v="0"/>
    <s v="Brand Awareness"/>
    <n v="6990.08"/>
    <n v="200"/>
    <n v="44"/>
    <n v="130473.68"/>
    <n v="22"/>
    <n v="1766.5548892144293"/>
    <s v="Positive"/>
  </r>
  <r>
    <d v="2025-10-30T00:00:00"/>
    <x v="4"/>
    <s v="Brand Awareness"/>
    <n v="11638.18"/>
    <n v="161"/>
    <n v="30"/>
    <n v="33948.43"/>
    <n v="18.633500000000002"/>
    <n v="191.69878795481767"/>
    <s v="Positive"/>
  </r>
  <r>
    <d v="2025-07-05T00:00:00"/>
    <x v="3"/>
    <s v="Festival Offer"/>
    <n v="13483.87"/>
    <n v="195"/>
    <n v="19"/>
    <n v="100185.45"/>
    <n v="9.7436000000000007"/>
    <n v="643.00219447384177"/>
    <s v="Positive"/>
  </r>
  <r>
    <d v="2025-01-02T00:00:00"/>
    <x v="0"/>
    <s v="Lead Generation"/>
    <n v="6876.18"/>
    <n v="240"/>
    <n v="92"/>
    <n v="208578.26"/>
    <n v="38.333300000000001"/>
    <n v="2933.3449677000895"/>
    <s v="Positive"/>
  </r>
  <r>
    <d v="2025-03-03T00:00:00"/>
    <x v="3"/>
    <s v="Lead Generation"/>
    <n v="2876.74"/>
    <n v="197"/>
    <n v="74"/>
    <n v="349000.93"/>
    <n v="37.563499999999998"/>
    <n v="12031.820393918117"/>
    <s v="Positive"/>
  </r>
  <r>
    <d v="2025-02-01T00:00:00"/>
    <x v="1"/>
    <s v="Brand Awareness"/>
    <n v="2464.4899999999998"/>
    <n v="91"/>
    <n v="27"/>
    <n v="128882.05"/>
    <n v="29.670300000000001"/>
    <n v="5129.5627087145822"/>
    <s v="Positive"/>
  </r>
  <r>
    <d v="2025-12-24T00:00:00"/>
    <x v="1"/>
    <s v="Festival Offer"/>
    <n v="5454.33"/>
    <n v="32"/>
    <n v="8"/>
    <n v="34248.85"/>
    <n v="25"/>
    <n v="527.92038618858771"/>
    <s v="Positive"/>
  </r>
  <r>
    <d v="2025-12-04T00:00:00"/>
    <x v="4"/>
    <s v="Retargeting Campaign"/>
    <n v="7098.19"/>
    <n v="215"/>
    <n v="68"/>
    <n v="328423.21999999997"/>
    <n v="31.6279"/>
    <n v="4526.8586780573632"/>
    <s v="Positive"/>
  </r>
  <r>
    <d v="2025-06-01T00:00:00"/>
    <x v="1"/>
    <s v="Lead Generation"/>
    <n v="13673.44"/>
    <n v="64"/>
    <n v="16"/>
    <n v="52861.53"/>
    <n v="25"/>
    <n v="286.60008015539609"/>
    <s v="Positive"/>
  </r>
  <r>
    <d v="2025-05-15T00:00:00"/>
    <x v="2"/>
    <s v="Lead Generation"/>
    <n v="12795.41"/>
    <n v="81"/>
    <n v="16"/>
    <n v="40299.53"/>
    <n v="19.7531"/>
    <n v="214.95301830890918"/>
    <s v="Positive"/>
  </r>
  <r>
    <d v="2025-03-01T00:00:00"/>
    <x v="4"/>
    <s v="Retargeting Campaign"/>
    <n v="13516.1"/>
    <n v="82"/>
    <n v="29"/>
    <n v="164641.19"/>
    <n v="35.365900000000003"/>
    <n v="1118.1116594283853"/>
    <s v="Positive"/>
  </r>
  <r>
    <d v="2025-09-15T00:00:00"/>
    <x v="4"/>
    <s v="Retargeting Campaign"/>
    <n v="12126.96"/>
    <n v="143"/>
    <n v="25"/>
    <n v="148526.32"/>
    <n v="17.482500000000002"/>
    <n v="1124.7613581639589"/>
    <s v="Positive"/>
  </r>
  <r>
    <d v="2025-06-25T00:00:00"/>
    <x v="4"/>
    <s v="Brand Awareness"/>
    <n v="9238.52"/>
    <n v="72"/>
    <n v="12"/>
    <n v="52543.85"/>
    <n v="16.666699999999999"/>
    <n v="468.7474833631361"/>
    <s v="Positive"/>
  </r>
  <r>
    <d v="2025-09-04T00:00:00"/>
    <x v="0"/>
    <s v="New Product Launch"/>
    <n v="9009.01"/>
    <n v="93"/>
    <n v="24"/>
    <n v="105758.23"/>
    <n v="25.8065"/>
    <n v="1073.9162238692154"/>
    <s v="Positive"/>
  </r>
  <r>
    <d v="2025-06-04T00:00:00"/>
    <x v="1"/>
    <s v="Lead Generation"/>
    <n v="1570.77"/>
    <n v="69"/>
    <n v="16"/>
    <n v="56711.12"/>
    <n v="23.188400000000001"/>
    <n v="3510.4025414287262"/>
    <s v="Positive"/>
  </r>
  <r>
    <d v="2025-08-17T00:00:00"/>
    <x v="4"/>
    <s v="New Product Launch"/>
    <n v="12406.48"/>
    <n v="198"/>
    <n v="50"/>
    <n v="154801.18"/>
    <n v="25.252500000000001"/>
    <n v="1147.7445657430633"/>
    <s v="Positive"/>
  </r>
  <r>
    <d v="2025-01-22T00:00:00"/>
    <x v="0"/>
    <s v="Brand Awareness"/>
    <n v="5268.92"/>
    <n v="180"/>
    <n v="34"/>
    <n v="129606.48"/>
    <n v="18.8889"/>
    <n v="2359.8300980087001"/>
    <s v="Positive"/>
  </r>
  <r>
    <d v="2025-11-04T00:00:00"/>
    <x v="4"/>
    <s v="Retargeting Campaign"/>
    <n v="13385.65"/>
    <n v="191"/>
    <n v="15"/>
    <n v="18493.5"/>
    <n v="7.8533999999999997"/>
    <n v="38.159148042866804"/>
    <s v="Positive"/>
  </r>
  <r>
    <d v="2025-01-18T00:00:00"/>
    <x v="3"/>
    <s v="Lead Generation"/>
    <n v="12375.39"/>
    <n v="180"/>
    <n v="48"/>
    <n v="124852.25"/>
    <n v="26.666699999999999"/>
    <n v="908.87527584989255"/>
    <s v="Positive"/>
  </r>
  <r>
    <d v="2025-07-01T00:00:00"/>
    <x v="4"/>
    <s v="New Product Launch"/>
    <n v="14639.17"/>
    <n v="121"/>
    <n v="21"/>
    <n v="107828.52"/>
    <n v="17.355399999999999"/>
    <n v="636.57536595312445"/>
    <s v="Positive"/>
  </r>
  <r>
    <d v="2025-09-04T00:00:00"/>
    <x v="2"/>
    <s v="Brand Awareness"/>
    <n v="4489.75"/>
    <n v="55"/>
    <n v="8"/>
    <n v="39776.720000000001"/>
    <n v="14.545500000000001"/>
    <n v="785.94509716576658"/>
    <s v="Positive"/>
  </r>
  <r>
    <d v="2025-03-06T00:00:00"/>
    <x v="2"/>
    <s v="New Product Launch"/>
    <n v="1306.54"/>
    <n v="70"/>
    <n v="16"/>
    <n v="53372.38"/>
    <n v="22.857099999999999"/>
    <n v="3985.0169149050162"/>
    <s v="Positive"/>
  </r>
  <r>
    <d v="2025-03-09T00:00:00"/>
    <x v="4"/>
    <s v="Festival Offer"/>
    <n v="9674.2900000000009"/>
    <n v="126"/>
    <n v="44"/>
    <n v="124666.99"/>
    <n v="34.9206"/>
    <n v="1188.6422672878321"/>
    <s v="Positive"/>
  </r>
  <r>
    <d v="2025-07-07T00:00:00"/>
    <x v="3"/>
    <s v="Lead Generation"/>
    <n v="1555.51"/>
    <n v="130"/>
    <n v="31"/>
    <n v="61069.85"/>
    <n v="23.8462"/>
    <n v="3826.0339052786539"/>
    <s v="Positive"/>
  </r>
  <r>
    <d v="2025-07-29T00:00:00"/>
    <x v="0"/>
    <s v="New Product Launch"/>
    <n v="1107.1099999999999"/>
    <n v="149"/>
    <n v="58"/>
    <n v="194876.39"/>
    <n v="38.926200000000001"/>
    <n v="17502.260841289488"/>
    <s v="Positive"/>
  </r>
  <r>
    <d v="2025-04-08T00:00:00"/>
    <x v="4"/>
    <s v="Brand Awareness"/>
    <n v="9528.8799999999992"/>
    <n v="215"/>
    <n v="47"/>
    <n v="71895.539999999994"/>
    <n v="21.860499999999998"/>
    <n v="654.50147341555351"/>
    <s v="Positive"/>
  </r>
  <r>
    <d v="2025-08-29T00:00:00"/>
    <x v="3"/>
    <s v="Brand Awareness"/>
    <n v="8355.19"/>
    <n v="142"/>
    <n v="13"/>
    <n v="44068.36"/>
    <n v="9.1548999999999996"/>
    <n v="427.43695834565096"/>
    <s v="Positive"/>
  </r>
  <r>
    <d v="2025-06-12T00:00:00"/>
    <x v="0"/>
    <s v="Lead Generation"/>
    <n v="7464.05"/>
    <n v="224"/>
    <n v="63"/>
    <n v="367717.29"/>
    <n v="28.125"/>
    <n v="4826.511612328427"/>
    <s v="Positive"/>
  </r>
  <r>
    <d v="2025-01-21T00:00:00"/>
    <x v="0"/>
    <s v="Brand Awareness"/>
    <n v="4637.24"/>
    <n v="127"/>
    <n v="10"/>
    <n v="52604.9"/>
    <n v="7.8739999999999997"/>
    <n v="1034.4010661514178"/>
    <s v="Positive"/>
  </r>
  <r>
    <d v="2025-08-09T00:00:00"/>
    <x v="2"/>
    <s v="Lead Generation"/>
    <n v="2995.37"/>
    <n v="178"/>
    <n v="24"/>
    <n v="56498.38"/>
    <n v="13.4831"/>
    <n v="1786.1903537793328"/>
    <s v="Positive"/>
  </r>
  <r>
    <d v="2025-12-28T00:00:00"/>
    <x v="4"/>
    <s v="New Product Launch"/>
    <n v="5035.59"/>
    <n v="199"/>
    <n v="50"/>
    <n v="192673.91"/>
    <n v="25.125599999999999"/>
    <n v="3726.2430023095603"/>
    <s v="Positive"/>
  </r>
  <r>
    <d v="2025-06-03T00:00:00"/>
    <x v="1"/>
    <s v="Festival Offer"/>
    <n v="8046.61"/>
    <n v="29"/>
    <n v="6"/>
    <n v="32684.06"/>
    <n v="20.689699999999998"/>
    <n v="306.18421919292723"/>
    <s v="Positive"/>
  </r>
  <r>
    <d v="2025-09-25T00:00:00"/>
    <x v="2"/>
    <s v="New Product Launch"/>
    <n v="4615.91"/>
    <n v="204"/>
    <n v="24"/>
    <n v="98797.96"/>
    <n v="11.764699999999999"/>
    <n v="2040.3788202109663"/>
    <s v="Positive"/>
  </r>
  <r>
    <d v="2025-05-20T00:00:00"/>
    <x v="1"/>
    <s v="Festival Offer"/>
    <n v="12656.33"/>
    <n v="139"/>
    <n v="44"/>
    <n v="127581.64"/>
    <n v="31.654699999999998"/>
    <n v="908.04609235062605"/>
    <s v="Positive"/>
  </r>
  <r>
    <d v="2025-03-14T00:00:00"/>
    <x v="0"/>
    <s v="Brand Awareness"/>
    <n v="13731.63"/>
    <n v="217"/>
    <n v="6"/>
    <n v="23473.73"/>
    <n v="2.7650000000000001"/>
    <n v="70.946420781800853"/>
    <s v="Positive"/>
  </r>
  <r>
    <d v="2025-11-29T00:00:00"/>
    <x v="4"/>
    <s v="Retargeting Campaign"/>
    <n v="12813.49"/>
    <n v="103"/>
    <n v="25"/>
    <n v="137578.32"/>
    <n v="24.271799999999999"/>
    <n v="973.69904686389111"/>
    <s v="Positive"/>
  </r>
  <r>
    <d v="2025-12-15T00:00:00"/>
    <x v="4"/>
    <s v="Retargeting Campaign"/>
    <n v="1359.78"/>
    <n v="107"/>
    <n v="32"/>
    <n v="93632.78"/>
    <n v="29.906500000000001"/>
    <n v="6785.8771271823389"/>
    <s v="Positive"/>
  </r>
  <r>
    <d v="2025-12-13T00:00:00"/>
    <x v="1"/>
    <s v="Festival Offer"/>
    <n v="8194.6299999999992"/>
    <n v="58"/>
    <n v="13"/>
    <n v="74637.19"/>
    <n v="22.413799999999998"/>
    <n v="810.80610106862673"/>
    <s v="Positive"/>
  </r>
  <r>
    <d v="2025-11-02T00:00:00"/>
    <x v="1"/>
    <s v="Festival Offer"/>
    <n v="5060.29"/>
    <n v="21"/>
    <n v="4"/>
    <n v="20970.09"/>
    <n v="19.047599999999999"/>
    <n v="314.40490564770005"/>
    <s v="Positive"/>
  </r>
  <r>
    <d v="2025-03-04T00:00:00"/>
    <x v="4"/>
    <s v="Brand Awareness"/>
    <n v="14506.7"/>
    <n v="28"/>
    <n v="11"/>
    <n v="51577.43"/>
    <n v="39.285699999999999"/>
    <n v="255.54212880944664"/>
    <s v="Positive"/>
  </r>
  <r>
    <d v="2025-12-13T00:00:00"/>
    <x v="3"/>
    <s v="Retargeting Campaign"/>
    <n v="8282.07"/>
    <n v="171"/>
    <n v="15"/>
    <n v="37333.050000000003"/>
    <n v="8.7719000000000005"/>
    <n v="350.76955398831456"/>
    <s v="Positive"/>
  </r>
  <r>
    <d v="2025-02-13T00:00:00"/>
    <x v="2"/>
    <s v="Festival Offer"/>
    <n v="12565.46"/>
    <n v="23"/>
    <n v="3"/>
    <n v="4634.1400000000003"/>
    <n v="13.0435"/>
    <n v="-63.120013115317697"/>
    <s v="Negative"/>
  </r>
  <r>
    <d v="2025-05-29T00:00:00"/>
    <x v="1"/>
    <s v="Retargeting Campaign"/>
    <n v="5619.95"/>
    <n v="29"/>
    <n v="2"/>
    <n v="2388.9299999999998"/>
    <n v="6.8966000000000003"/>
    <n v="-57.49197056913318"/>
    <s v="Negative"/>
  </r>
  <r>
    <d v="2025-04-22T00:00:00"/>
    <x v="4"/>
    <s v="New Product Launch"/>
    <n v="4282.71"/>
    <n v="73"/>
    <n v="9"/>
    <n v="32016.22"/>
    <n v="12.328799999999999"/>
    <n v="647.56917932804231"/>
    <s v="Positive"/>
  </r>
  <r>
    <d v="2025-05-10T00:00:00"/>
    <x v="1"/>
    <s v="New Product Launch"/>
    <n v="3739.05"/>
    <n v="85"/>
    <n v="28"/>
    <n v="119843.58"/>
    <n v="32.941200000000002"/>
    <n v="3105.1879488105264"/>
    <s v="Positive"/>
  </r>
  <r>
    <d v="2025-07-13T00:00:00"/>
    <x v="4"/>
    <s v="Lead Generation"/>
    <n v="3579.66"/>
    <n v="107"/>
    <n v="31"/>
    <n v="37196.949999999997"/>
    <n v="28.972000000000001"/>
    <n v="939.11963706050278"/>
    <s v="Positive"/>
  </r>
  <r>
    <d v="2025-05-18T00:00:00"/>
    <x v="1"/>
    <s v="Brand Awareness"/>
    <n v="8462.08"/>
    <n v="104"/>
    <n v="40"/>
    <n v="67910.86"/>
    <n v="38.461500000000001"/>
    <n v="702.53152889124181"/>
    <s v="Positive"/>
  </r>
  <r>
    <d v="2025-11-13T00:00:00"/>
    <x v="2"/>
    <s v="Festival Offer"/>
    <n v="5655.39"/>
    <n v="153"/>
    <n v="21"/>
    <n v="92165.87"/>
    <n v="13.7255"/>
    <n v="1529.6996316788054"/>
    <s v="Positive"/>
  </r>
  <r>
    <d v="2025-01-04T00:00:00"/>
    <x v="1"/>
    <s v="Brand Awareness"/>
    <n v="5143.13"/>
    <n v="237"/>
    <n v="51"/>
    <n v="227119.07"/>
    <n v="21.518999999999998"/>
    <n v="4315.9698471553311"/>
    <s v="Positive"/>
  </r>
  <r>
    <d v="2025-05-11T00:00:00"/>
    <x v="0"/>
    <s v="New Product Launch"/>
    <n v="8913.68"/>
    <n v="153"/>
    <n v="18"/>
    <n v="50523.95"/>
    <n v="11.764699999999999"/>
    <n v="466.81359438525948"/>
    <s v="Positive"/>
  </r>
  <r>
    <d v="2025-06-11T00:00:00"/>
    <x v="4"/>
    <s v="Brand Awareness"/>
    <n v="11450.44"/>
    <n v="232"/>
    <n v="10"/>
    <n v="10546.12"/>
    <n v="4.3102999999999998"/>
    <n v="-7.8976877744435985"/>
    <s v="Negative"/>
  </r>
  <r>
    <d v="2025-01-31T00:00:00"/>
    <x v="1"/>
    <s v="Festival Offer"/>
    <n v="11239.74"/>
    <n v="52"/>
    <n v="3"/>
    <n v="7463.32"/>
    <n v="5.7691999999999997"/>
    <n v="-33.598819901527968"/>
    <s v="Negative"/>
  </r>
  <r>
    <d v="2025-10-29T00:00:00"/>
    <x v="4"/>
    <s v="New Product Launch"/>
    <n v="3948.77"/>
    <n v="110"/>
    <n v="8"/>
    <n v="31980.97"/>
    <n v="7.2727000000000004"/>
    <n v="709.89700590310406"/>
    <s v="Positive"/>
  </r>
  <r>
    <d v="2025-09-04T00:00:00"/>
    <x v="1"/>
    <s v="Brand Awareness"/>
    <n v="11789.76"/>
    <n v="33"/>
    <n v="10"/>
    <n v="12818.29"/>
    <n v="30.303000000000001"/>
    <n v="8.7239265260700858"/>
    <s v="Positive"/>
  </r>
  <r>
    <d v="2025-10-24T00:00:00"/>
    <x v="1"/>
    <s v="Festival Offer"/>
    <n v="13622.9"/>
    <n v="40"/>
    <n v="8"/>
    <n v="33563.599999999999"/>
    <n v="20"/>
    <n v="146.37632222214066"/>
    <s v="Positive"/>
  </r>
  <r>
    <d v="2025-05-31T00:00:00"/>
    <x v="2"/>
    <s v="Festival Offer"/>
    <n v="2182.8200000000002"/>
    <n v="60"/>
    <n v="3"/>
    <n v="5209.8599999999997"/>
    <n v="5"/>
    <n v="138.67565809365863"/>
    <s v="Positive"/>
  </r>
  <r>
    <d v="2025-08-12T00:00:00"/>
    <x v="2"/>
    <s v="Brand Awareness"/>
    <n v="2858.6"/>
    <n v="27"/>
    <n v="7"/>
    <n v="31915.83"/>
    <n v="25.925899999999999"/>
    <n v="1016.4846428321557"/>
    <s v="Positive"/>
  </r>
  <r>
    <d v="2025-01-29T00:00:00"/>
    <x v="0"/>
    <s v="Festival Offer"/>
    <n v="13297.92"/>
    <n v="179"/>
    <n v="68"/>
    <n v="370169.22"/>
    <n v="37.988799999999998"/>
    <n v="2683.6625577533928"/>
    <s v="Positive"/>
  </r>
  <r>
    <d v="2025-09-11T00:00:00"/>
    <x v="4"/>
    <s v="Retargeting Campaign"/>
    <n v="5868.14"/>
    <n v="84"/>
    <n v="5"/>
    <n v="14318.85"/>
    <n v="5.9523999999999999"/>
    <n v="144.01002702730335"/>
    <s v="Positive"/>
  </r>
  <r>
    <d v="2025-12-06T00:00:00"/>
    <x v="2"/>
    <s v="Retargeting Campaign"/>
    <n v="10983.72"/>
    <n v="111"/>
    <n v="32"/>
    <n v="65108.42"/>
    <n v="28.828800000000001"/>
    <n v="492.77202987694517"/>
    <s v="Positive"/>
  </r>
  <r>
    <d v="2025-05-10T00:00:00"/>
    <x v="4"/>
    <s v="Retargeting Campaign"/>
    <n v="2494.66"/>
    <n v="143"/>
    <n v="18"/>
    <n v="48202.45"/>
    <n v="12.587400000000001"/>
    <n v="1832.225233097897"/>
    <s v="Positive"/>
  </r>
  <r>
    <d v="2025-05-31T00:00:00"/>
    <x v="4"/>
    <s v="Lead Generation"/>
    <n v="6148.19"/>
    <n v="114"/>
    <n v="14"/>
    <n v="33477.589999999997"/>
    <n v="12.2807"/>
    <n v="444.51131145914485"/>
    <s v="Positive"/>
  </r>
  <r>
    <d v="2025-03-16T00:00:00"/>
    <x v="0"/>
    <s v="Retargeting Campaign"/>
    <n v="1508.46"/>
    <n v="97"/>
    <n v="21"/>
    <n v="85174.14"/>
    <n v="21.6495"/>
    <n v="5546.4301340439906"/>
    <s v="Positive"/>
  </r>
  <r>
    <d v="2025-05-17T00:00:00"/>
    <x v="0"/>
    <s v="New Product Launch"/>
    <n v="1162.4000000000001"/>
    <n v="245"/>
    <n v="10"/>
    <n v="56162.39"/>
    <n v="4.0815999999999999"/>
    <n v="4731.5889538885058"/>
    <s v="Positive"/>
  </r>
  <r>
    <d v="2025-07-09T00:00:00"/>
    <x v="0"/>
    <s v="Retargeting Campaign"/>
    <n v="7557.32"/>
    <n v="109"/>
    <n v="26"/>
    <n v="91782.12"/>
    <n v="23.853200000000001"/>
    <n v="1114.4797362027807"/>
    <s v="Positive"/>
  </r>
  <r>
    <d v="2025-02-12T00:00:00"/>
    <x v="1"/>
    <s v="Lead Generation"/>
    <n v="4296.97"/>
    <n v="73"/>
    <n v="4"/>
    <n v="11136.7"/>
    <n v="5.4794999999999998"/>
    <n v="159.17565168013741"/>
    <s v="Positive"/>
  </r>
  <r>
    <d v="2025-10-09T00:00:00"/>
    <x v="4"/>
    <s v="Festival Offer"/>
    <n v="5447.95"/>
    <n v="216"/>
    <n v="58"/>
    <n v="226513.71"/>
    <n v="26.851900000000001"/>
    <n v="4057.7787975293454"/>
    <s v="Positive"/>
  </r>
  <r>
    <d v="2025-01-15T00:00:00"/>
    <x v="4"/>
    <s v="New Product Launch"/>
    <n v="4376.84"/>
    <n v="162"/>
    <n v="18"/>
    <n v="104540.17"/>
    <n v="11.1111"/>
    <n v="2288.4850714213908"/>
    <s v="Positive"/>
  </r>
  <r>
    <d v="2025-08-14T00:00:00"/>
    <x v="4"/>
    <s v="Brand Awareness"/>
    <n v="7825.54"/>
    <n v="177"/>
    <n v="68"/>
    <n v="227503.74"/>
    <n v="38.418100000000003"/>
    <n v="2807.1954139905997"/>
    <s v="Positive"/>
  </r>
  <r>
    <d v="2025-11-07T00:00:00"/>
    <x v="0"/>
    <s v="Retargeting Campaign"/>
    <n v="8755.01"/>
    <n v="53"/>
    <n v="8"/>
    <n v="30793.57"/>
    <n v="15.0943"/>
    <n v="251.72512652755393"/>
    <s v="Positive"/>
  </r>
  <r>
    <d v="2025-10-02T00:00:00"/>
    <x v="3"/>
    <s v="Retargeting Campaign"/>
    <n v="12242.85"/>
    <n v="65"/>
    <n v="6"/>
    <n v="33350.9"/>
    <n v="9.2308000000000003"/>
    <n v="172.41124411391141"/>
    <s v="Positive"/>
  </r>
  <r>
    <d v="2025-08-29T00:00:00"/>
    <x v="0"/>
    <s v="Lead Generation"/>
    <n v="14228.77"/>
    <n v="170"/>
    <n v="29"/>
    <n v="152273.14000000001"/>
    <n v="17.058800000000002"/>
    <n v="970.17781579152677"/>
    <s v="Positive"/>
  </r>
  <r>
    <d v="2025-01-09T00:00:00"/>
    <x v="1"/>
    <s v="Retargeting Campaign"/>
    <n v="3665.6"/>
    <n v="225"/>
    <n v="29"/>
    <n v="116761.31"/>
    <n v="12.8889"/>
    <n v="3085.3260039284155"/>
    <s v="Positive"/>
  </r>
  <r>
    <d v="2025-04-30T00:00:00"/>
    <x v="0"/>
    <s v="Brand Awareness"/>
    <n v="14652.18"/>
    <n v="178"/>
    <n v="47"/>
    <n v="190657.09"/>
    <n v="26.404499999999999"/>
    <n v="1201.2199549828081"/>
    <s v="Positive"/>
  </r>
  <r>
    <d v="2025-04-24T00:00:00"/>
    <x v="3"/>
    <s v="Lead Generation"/>
    <n v="14520.23"/>
    <n v="137"/>
    <n v="25"/>
    <n v="102898.81"/>
    <n v="18.248200000000001"/>
    <n v="608.65826505503014"/>
    <s v="Positive"/>
  </r>
  <r>
    <d v="2025-05-14T00:00:00"/>
    <x v="0"/>
    <s v="Retargeting Campaign"/>
    <n v="13468.35"/>
    <n v="77"/>
    <n v="30"/>
    <n v="162314.72"/>
    <n v="38.960999999999999"/>
    <n v="1105.1566821474048"/>
    <s v="Positive"/>
  </r>
  <r>
    <d v="2025-03-24T00:00:00"/>
    <x v="3"/>
    <s v="Festival Offer"/>
    <n v="3530.3"/>
    <n v="107"/>
    <n v="21"/>
    <n v="108814.9"/>
    <n v="19.626200000000001"/>
    <n v="2982.3131178653371"/>
    <s v="Positive"/>
  </r>
  <r>
    <d v="2025-03-14T00:00:00"/>
    <x v="3"/>
    <s v="Retargeting Campaign"/>
    <n v="6058.8"/>
    <n v="76"/>
    <n v="4"/>
    <n v="18625.11"/>
    <n v="5.2632000000000003"/>
    <n v="207.40592196474549"/>
    <s v="Positive"/>
  </r>
  <r>
    <d v="2025-06-02T00:00:00"/>
    <x v="0"/>
    <s v="Brand Awareness"/>
    <n v="1763.36"/>
    <n v="37"/>
    <n v="13"/>
    <n v="30586.880000000001"/>
    <n v="35.135100000000001"/>
    <n v="1634.5794392523367"/>
    <s v="Positive"/>
  </r>
  <r>
    <d v="2025-02-19T00:00:00"/>
    <x v="3"/>
    <s v="Retargeting Campaign"/>
    <n v="11302.32"/>
    <n v="156"/>
    <n v="14"/>
    <n v="50885.56"/>
    <n v="8.9743999999999993"/>
    <n v="350.2222552537886"/>
    <s v="Positive"/>
  </r>
  <r>
    <d v="2025-05-03T00:00:00"/>
    <x v="0"/>
    <s v="Brand Awareness"/>
    <n v="10879.72"/>
    <n v="20"/>
    <n v="4"/>
    <n v="14566.19"/>
    <n v="20"/>
    <n v="33.883868334846866"/>
    <s v="Positive"/>
  </r>
  <r>
    <d v="2025-03-05T00:00:00"/>
    <x v="1"/>
    <s v="Festival Offer"/>
    <n v="12592.91"/>
    <n v="29"/>
    <n v="11"/>
    <n v="34461.519999999997"/>
    <n v="37.930999999999997"/>
    <n v="173.6581139704802"/>
    <s v="Positive"/>
  </r>
  <r>
    <d v="2025-09-13T00:00:00"/>
    <x v="2"/>
    <s v="Lead Generation"/>
    <n v="4845.87"/>
    <n v="126"/>
    <n v="19"/>
    <n v="69255.47"/>
    <n v="15.0794"/>
    <n v="1329.1648352101893"/>
    <s v="Positive"/>
  </r>
  <r>
    <d v="2025-07-07T00:00:00"/>
    <x v="1"/>
    <s v="New Product Launch"/>
    <n v="3045.16"/>
    <n v="38"/>
    <n v="11"/>
    <n v="31847.91"/>
    <n v="28.947399999999998"/>
    <n v="945.85341985314403"/>
    <s v="Positive"/>
  </r>
  <r>
    <d v="2025-08-15T00:00:00"/>
    <x v="3"/>
    <s v="Festival Offer"/>
    <n v="10587.82"/>
    <n v="99"/>
    <n v="33"/>
    <n v="33586.54"/>
    <n v="33.333300000000001"/>
    <n v="217.21865313161729"/>
    <s v="Positive"/>
  </r>
  <r>
    <d v="2025-04-02T00:00:00"/>
    <x v="1"/>
    <s v="Lead Generation"/>
    <n v="14924.62"/>
    <n v="126"/>
    <n v="8"/>
    <n v="30946.59"/>
    <n v="6.3491999999999997"/>
    <n v="107.35261601300401"/>
    <s v="Positive"/>
  </r>
  <r>
    <d v="2025-10-30T00:00:00"/>
    <x v="3"/>
    <s v="New Product Launch"/>
    <n v="2523.9499999999998"/>
    <n v="53"/>
    <n v="17"/>
    <n v="52478.82"/>
    <n v="32.075499999999998"/>
    <n v="1979.2337407634861"/>
    <s v="Positive"/>
  </r>
  <r>
    <d v="2025-03-25T00:00:00"/>
    <x v="4"/>
    <s v="Lead Generation"/>
    <n v="12678.82"/>
    <n v="249"/>
    <n v="30"/>
    <n v="105074.52"/>
    <n v="12.0482"/>
    <n v="728.74052948145027"/>
    <s v="Positive"/>
  </r>
  <r>
    <d v="2025-06-21T00:00:00"/>
    <x v="1"/>
    <s v="Lead Generation"/>
    <n v="1735.75"/>
    <n v="75"/>
    <n v="16"/>
    <n v="57872.22"/>
    <n v="21.333300000000001"/>
    <n v="3234.1333717413222"/>
    <s v="Positive"/>
  </r>
  <r>
    <d v="2025-01-12T00:00:00"/>
    <x v="3"/>
    <s v="Lead Generation"/>
    <n v="5159.2700000000004"/>
    <n v="237"/>
    <n v="8"/>
    <n v="43616.05"/>
    <n v="3.3755000000000002"/>
    <n v="745.39188683670363"/>
    <s v="Positive"/>
  </r>
  <r>
    <d v="2025-02-22T00:00:00"/>
    <x v="2"/>
    <s v="New Product Launch"/>
    <n v="3936.94"/>
    <n v="86"/>
    <n v="34"/>
    <n v="148117.57999999999"/>
    <n v="39.5349"/>
    <n v="3662.2513932140187"/>
    <s v="Positive"/>
  </r>
  <r>
    <d v="2025-06-26T00:00:00"/>
    <x v="2"/>
    <s v="Lead Generation"/>
    <n v="14346.93"/>
    <n v="116"/>
    <n v="31"/>
    <n v="34671.15"/>
    <n v="26.7241"/>
    <n v="141.66250201262571"/>
    <s v="Positive"/>
  </r>
  <r>
    <d v="2025-12-02T00:00:00"/>
    <x v="1"/>
    <s v="Festival Offer"/>
    <n v="9010.99"/>
    <n v="120"/>
    <n v="31"/>
    <n v="156595.41"/>
    <n v="25.833300000000001"/>
    <n v="1637.8269202385088"/>
    <s v="Positive"/>
  </r>
  <r>
    <d v="2025-10-18T00:00:00"/>
    <x v="3"/>
    <s v="Brand Awareness"/>
    <n v="9346.19"/>
    <n v="50"/>
    <n v="2"/>
    <n v="2232.84"/>
    <n v="4"/>
    <n v="-76.10962327964657"/>
    <s v="Negative"/>
  </r>
  <r>
    <d v="2025-12-16T00:00:00"/>
    <x v="0"/>
    <s v="Festival Offer"/>
    <n v="11204.11"/>
    <n v="133"/>
    <n v="12"/>
    <n v="63978.43"/>
    <n v="9.0226000000000006"/>
    <n v="471.02643583470706"/>
    <s v="Positive"/>
  </r>
  <r>
    <d v="2025-11-11T00:00:00"/>
    <x v="1"/>
    <s v="Lead Generation"/>
    <n v="2923"/>
    <n v="103"/>
    <n v="33"/>
    <n v="105504.93"/>
    <n v="32.038800000000002"/>
    <n v="3509.4741703729042"/>
    <s v="Positive"/>
  </r>
  <r>
    <d v="2025-05-18T00:00:00"/>
    <x v="0"/>
    <s v="Brand Awareness"/>
    <n v="12256.25"/>
    <n v="190"/>
    <n v="23"/>
    <n v="47944.26"/>
    <n v="12.1053"/>
    <n v="291.18213156552781"/>
    <s v="Positive"/>
  </r>
  <r>
    <d v="2025-10-28T00:00:00"/>
    <x v="3"/>
    <s v="Retargeting Campaign"/>
    <n v="9777.8700000000008"/>
    <n v="247"/>
    <n v="28"/>
    <n v="115120.88"/>
    <n v="11.336"/>
    <n v="1077.361531703735"/>
    <s v="Positive"/>
  </r>
  <r>
    <d v="2025-12-28T00:00:00"/>
    <x v="2"/>
    <s v="Lead Generation"/>
    <n v="14766.77"/>
    <n v="56"/>
    <n v="6"/>
    <n v="33267.22"/>
    <n v="10.7143"/>
    <n v="125.28433773939732"/>
    <s v="Positive"/>
  </r>
  <r>
    <d v="2025-04-01T00:00:00"/>
    <x v="4"/>
    <s v="Festival Offer"/>
    <n v="4009.05"/>
    <n v="52"/>
    <n v="9"/>
    <n v="35589.660000000003"/>
    <n v="17.307700000000001"/>
    <n v="787.73300407827298"/>
    <s v="Positive"/>
  </r>
  <r>
    <d v="2025-06-26T00:00:00"/>
    <x v="2"/>
    <s v="Brand Awareness"/>
    <n v="7157.03"/>
    <n v="172"/>
    <n v="51"/>
    <n v="219517.6"/>
    <n v="29.651199999999999"/>
    <n v="2967.1605400564204"/>
    <s v="Positive"/>
  </r>
  <r>
    <d v="2025-10-08T00:00:00"/>
    <x v="3"/>
    <s v="Brand Awareness"/>
    <n v="12042.5"/>
    <n v="89"/>
    <n v="16"/>
    <n v="72939.39"/>
    <n v="17.977499999999999"/>
    <n v="505.68312227527503"/>
    <s v="Positive"/>
  </r>
  <r>
    <d v="2025-12-02T00:00:00"/>
    <x v="4"/>
    <s v="New Product Launch"/>
    <n v="13371.46"/>
    <n v="68"/>
    <n v="12"/>
    <n v="51821.1"/>
    <n v="17.647099999999998"/>
    <n v="287.55005063022287"/>
    <s v="Positive"/>
  </r>
  <r>
    <d v="2025-02-17T00:00:00"/>
    <x v="3"/>
    <s v="Retargeting Campaign"/>
    <n v="8810.18"/>
    <n v="61"/>
    <n v="13"/>
    <n v="41671.83"/>
    <n v="21.311499999999999"/>
    <n v="372.99635194740631"/>
    <s v="Positive"/>
  </r>
  <r>
    <d v="2025-11-24T00:00:00"/>
    <x v="3"/>
    <s v="Brand Awareness"/>
    <n v="13645.33"/>
    <n v="118"/>
    <n v="24"/>
    <n v="25224.59"/>
    <n v="20.338999999999999"/>
    <n v="84.858775859579808"/>
    <s v="Positive"/>
  </r>
  <r>
    <d v="2025-04-05T00:00:00"/>
    <x v="0"/>
    <s v="Festival Offer"/>
    <n v="7005.69"/>
    <n v="217"/>
    <n v="4"/>
    <n v="15747.34"/>
    <n v="1.8432999999999999"/>
    <n v="124.77928655136041"/>
    <s v="Positive"/>
  </r>
  <r>
    <d v="2025-03-09T00:00:00"/>
    <x v="0"/>
    <s v="Brand Awareness"/>
    <n v="5047.68"/>
    <n v="180"/>
    <n v="62"/>
    <n v="119693.31"/>
    <n v="34.444400000000002"/>
    <n v="2271.2539225941423"/>
    <s v="Positive"/>
  </r>
  <r>
    <d v="2025-03-19T00:00:00"/>
    <x v="1"/>
    <s v="Lead Generation"/>
    <n v="10805.94"/>
    <n v="53"/>
    <n v="8"/>
    <n v="18630.78"/>
    <n v="15.0943"/>
    <n v="72.412395404749603"/>
    <s v="Positive"/>
  </r>
  <r>
    <d v="2025-12-10T00:00:00"/>
    <x v="4"/>
    <s v="Lead Generation"/>
    <n v="8604.59"/>
    <n v="204"/>
    <n v="81"/>
    <n v="266420.87"/>
    <n v="39.7059"/>
    <n v="2996.2645518264089"/>
    <s v="Positive"/>
  </r>
  <r>
    <d v="2025-06-01T00:00:00"/>
    <x v="4"/>
    <s v="Festival Offer"/>
    <n v="14589.32"/>
    <n v="37"/>
    <n v="12"/>
    <n v="48316.19"/>
    <n v="32.432400000000001"/>
    <n v="231.17506504758279"/>
    <s v="Positive"/>
  </r>
  <r>
    <d v="2025-09-10T00:00:00"/>
    <x v="0"/>
    <s v="New Product Launch"/>
    <n v="5325.34"/>
    <n v="194"/>
    <n v="46"/>
    <n v="227327.07"/>
    <n v="23.711300000000001"/>
    <n v="4168.7803971201838"/>
    <s v="Positive"/>
  </r>
  <r>
    <d v="2025-12-24T00:00:00"/>
    <x v="4"/>
    <s v="Retargeting Campaign"/>
    <n v="5349.95"/>
    <n v="246"/>
    <n v="32"/>
    <n v="36450.86"/>
    <n v="13.008100000000001"/>
    <n v="581.33085355937908"/>
    <s v="Positive"/>
  </r>
  <r>
    <d v="2025-09-10T00:00:00"/>
    <x v="2"/>
    <s v="Lead Generation"/>
    <n v="3725.19"/>
    <n v="175"/>
    <n v="26"/>
    <n v="100257.48"/>
    <n v="14.857100000000001"/>
    <n v="2591.3386968181489"/>
    <s v="Positive"/>
  </r>
  <r>
    <d v="2025-07-06T00:00:00"/>
    <x v="3"/>
    <s v="New Product Launch"/>
    <n v="10765.59"/>
    <n v="60"/>
    <n v="4"/>
    <n v="20901.23"/>
    <n v="6.6666999999999996"/>
    <n v="94.148486056035935"/>
    <s v="Positive"/>
  </r>
  <r>
    <d v="2025-04-24T00:00:00"/>
    <x v="0"/>
    <s v="Festival Offer"/>
    <n v="11614.37"/>
    <n v="85"/>
    <n v="8"/>
    <n v="43353.58"/>
    <n v="9.4117999999999995"/>
    <n v="273.27534769427871"/>
    <s v="Positive"/>
  </r>
  <r>
    <d v="2025-07-27T00:00:00"/>
    <x v="4"/>
    <s v="Festival Offer"/>
    <n v="7300.13"/>
    <n v="141"/>
    <n v="15"/>
    <n v="73091.19"/>
    <n v="10.638299999999999"/>
    <n v="901.23134793489965"/>
    <s v="Positive"/>
  </r>
  <r>
    <d v="2025-10-28T00:00:00"/>
    <x v="0"/>
    <s v="Festival Offer"/>
    <n v="9146.84"/>
    <n v="122"/>
    <n v="33"/>
    <n v="86931.83"/>
    <n v="27.049199999999999"/>
    <n v="850.4028713741576"/>
    <s v="Positive"/>
  </r>
  <r>
    <d v="2025-10-17T00:00:00"/>
    <x v="2"/>
    <s v="Festival Offer"/>
    <n v="5121.7"/>
    <n v="51"/>
    <n v="2"/>
    <n v="10982.98"/>
    <n v="3.9216000000000002"/>
    <n v="114.44012730148192"/>
    <s v="Positive"/>
  </r>
  <r>
    <d v="2025-05-19T00:00:00"/>
    <x v="3"/>
    <s v="Lead Generation"/>
    <n v="11909.28"/>
    <n v="82"/>
    <n v="16"/>
    <n v="65804.05"/>
    <n v="19.5122"/>
    <n v="452.5443183802883"/>
    <s v="Positive"/>
  </r>
  <r>
    <d v="2025-03-03T00:00:00"/>
    <x v="0"/>
    <s v="Lead Generation"/>
    <n v="10729.85"/>
    <n v="43"/>
    <n v="9"/>
    <n v="18027.04"/>
    <n v="20.930199999999999"/>
    <n v="68.008313256942088"/>
    <s v="Positive"/>
  </r>
  <r>
    <d v="2025-08-11T00:00:00"/>
    <x v="0"/>
    <s v="Brand Awareness"/>
    <n v="7356.66"/>
    <n v="197"/>
    <n v="6"/>
    <n v="14690.13"/>
    <n v="3.0457000000000001"/>
    <n v="99.684775427979531"/>
    <s v="Positive"/>
  </r>
  <r>
    <d v="2025-01-20T00:00:00"/>
    <x v="4"/>
    <s v="Festival Offer"/>
    <n v="6651.02"/>
    <n v="99"/>
    <n v="4"/>
    <n v="22307.22"/>
    <n v="4.0404"/>
    <n v="235.395473175543"/>
    <s v="Positive"/>
  </r>
  <r>
    <d v="2025-09-06T00:00:00"/>
    <x v="2"/>
    <s v="Festival Offer"/>
    <n v="1899.21"/>
    <n v="60"/>
    <n v="12"/>
    <n v="67970.33"/>
    <n v="20"/>
    <n v="3478.8738475471378"/>
    <s v="Positive"/>
  </r>
  <r>
    <d v="2025-03-27T00:00:00"/>
    <x v="3"/>
    <s v="Festival Offer"/>
    <n v="6563.95"/>
    <n v="139"/>
    <n v="25"/>
    <n v="136508.48000000001"/>
    <n v="17.985600000000002"/>
    <n v="1979.6697110733633"/>
    <s v="Positive"/>
  </r>
  <r>
    <d v="2025-12-25T00:00:00"/>
    <x v="1"/>
    <s v="Festival Offer"/>
    <n v="11232.24"/>
    <n v="194"/>
    <n v="48"/>
    <n v="153674.13"/>
    <n v="24.7423"/>
    <n v="1268.1521228178888"/>
    <s v="Positive"/>
  </r>
  <r>
    <d v="2025-02-03T00:00:00"/>
    <x v="4"/>
    <s v="Festival Offer"/>
    <n v="12734.56"/>
    <n v="42"/>
    <n v="12"/>
    <n v="67235.22"/>
    <n v="28.571400000000001"/>
    <n v="427.97442550037073"/>
    <s v="Positive"/>
  </r>
  <r>
    <d v="2025-05-07T00:00:00"/>
    <x v="4"/>
    <s v="Festival Offer"/>
    <n v="13372.04"/>
    <n v="239"/>
    <n v="13"/>
    <n v="55587.01"/>
    <n v="5.4393000000000002"/>
    <n v="315.69581006338598"/>
    <s v="Positive"/>
  </r>
  <r>
    <d v="2025-03-17T00:00:00"/>
    <x v="0"/>
    <s v="Festival Offer"/>
    <n v="3042.65"/>
    <n v="122"/>
    <n v="24"/>
    <n v="74692.33"/>
    <n v="19.6721"/>
    <n v="2354.8446255731028"/>
    <s v="Positive"/>
  </r>
  <r>
    <d v="2025-11-15T00:00:00"/>
    <x v="4"/>
    <s v="New Product Launch"/>
    <n v="3486.52"/>
    <n v="29"/>
    <n v="10"/>
    <n v="10648.5"/>
    <n v="34.482799999999997"/>
    <n v="205.41915721120199"/>
    <s v="Positive"/>
  </r>
  <r>
    <d v="2025-12-02T00:00:00"/>
    <x v="1"/>
    <s v="Retargeting Campaign"/>
    <n v="11257.2"/>
    <n v="43"/>
    <n v="9"/>
    <n v="27154.400000000001"/>
    <n v="20.930199999999999"/>
    <n v="141.21806488291938"/>
    <s v="Positive"/>
  </r>
  <r>
    <d v="2025-07-26T00:00:00"/>
    <x v="3"/>
    <s v="New Product Launch"/>
    <n v="1105.8399999999999"/>
    <n v="142"/>
    <n v="54"/>
    <n v="122792.86"/>
    <n v="38.028199999999998"/>
    <n v="11004.034941763728"/>
    <s v="Positive"/>
  </r>
  <r>
    <d v="2025-07-11T00:00:00"/>
    <x v="4"/>
    <s v="Lead Generation"/>
    <n v="11711.03"/>
    <n v="196"/>
    <n v="57"/>
    <n v="303174.18"/>
    <n v="29.081600000000002"/>
    <n v="2488.7917629790031"/>
    <s v="Positive"/>
  </r>
  <r>
    <d v="2025-05-20T00:00:00"/>
    <x v="4"/>
    <s v="Festival Offer"/>
    <n v="14458.65"/>
    <n v="96"/>
    <n v="15"/>
    <n v="38147.160000000003"/>
    <n v="15.625"/>
    <n v="163.83625027232836"/>
    <s v="Positive"/>
  </r>
  <r>
    <d v="2025-04-14T00:00:00"/>
    <x v="4"/>
    <s v="Lead Generation"/>
    <n v="14278.12"/>
    <n v="110"/>
    <n v="15"/>
    <n v="62681.56"/>
    <n v="13.6364"/>
    <n v="339.00429468305344"/>
    <s v="Positive"/>
  </r>
  <r>
    <d v="2025-10-02T00:00:00"/>
    <x v="4"/>
    <s v="Brand Awareness"/>
    <n v="2984.3"/>
    <n v="186"/>
    <n v="30"/>
    <n v="48717.64"/>
    <n v="16.129000000000001"/>
    <n v="1532.4645645545017"/>
    <s v="Positive"/>
  </r>
  <r>
    <d v="2025-07-05T00:00:00"/>
    <x v="3"/>
    <s v="Festival Offer"/>
    <n v="9743.8799999999992"/>
    <n v="156"/>
    <n v="59"/>
    <n v="108563.69"/>
    <n v="37.820500000000003"/>
    <n v="1014.1731014749771"/>
    <s v="Positive"/>
  </r>
  <r>
    <d v="2025-11-16T00:00:00"/>
    <x v="2"/>
    <s v="New Product Launch"/>
    <n v="1843.62"/>
    <n v="60"/>
    <n v="21"/>
    <n v="108496.24"/>
    <n v="35"/>
    <n v="5784.956769833263"/>
    <s v="Positive"/>
  </r>
  <r>
    <d v="2025-03-05T00:00:00"/>
    <x v="2"/>
    <s v="Retargeting Campaign"/>
    <n v="4775.54"/>
    <n v="121"/>
    <n v="33"/>
    <n v="92439.63"/>
    <n v="27.2727"/>
    <n v="1835.6895764667452"/>
    <s v="Positive"/>
  </r>
  <r>
    <d v="2025-06-01T00:00:00"/>
    <x v="3"/>
    <s v="Lead Generation"/>
    <n v="4302.66"/>
    <n v="107"/>
    <n v="30"/>
    <n v="176444.58"/>
    <n v="28.037400000000002"/>
    <n v="4000.8255358313227"/>
    <s v="Positive"/>
  </r>
  <r>
    <d v="2025-07-04T00:00:00"/>
    <x v="3"/>
    <s v="Brand Awareness"/>
    <n v="4259.93"/>
    <n v="202"/>
    <n v="77"/>
    <n v="343543.83"/>
    <n v="38.1188"/>
    <n v="7964.5416708725261"/>
    <s v="Positive"/>
  </r>
  <r>
    <d v="2025-08-12T00:00:00"/>
    <x v="0"/>
    <s v="Retargeting Campaign"/>
    <n v="11062.98"/>
    <n v="227"/>
    <n v="62"/>
    <n v="195812.4"/>
    <n v="27.312799999999999"/>
    <n v="1669.9787941404577"/>
    <s v="Positive"/>
  </r>
  <r>
    <d v="2025-06-10T00:00:00"/>
    <x v="3"/>
    <s v="Retargeting Campaign"/>
    <n v="12874.61"/>
    <n v="114"/>
    <n v="30"/>
    <n v="133695.53"/>
    <n v="26.315799999999999"/>
    <n v="938.44333925454816"/>
    <s v="Positive"/>
  </r>
  <r>
    <d v="2025-08-03T00:00:00"/>
    <x v="4"/>
    <s v="Lead Generation"/>
    <n v="14513.66"/>
    <n v="96"/>
    <n v="3"/>
    <n v="7586.5"/>
    <n v="3.125"/>
    <n v="-47.728553652214536"/>
    <s v="Negative"/>
  </r>
  <r>
    <d v="2025-11-09T00:00:00"/>
    <x v="2"/>
    <s v="Festival Offer"/>
    <n v="13570.49"/>
    <n v="109"/>
    <n v="14"/>
    <n v="24447.87"/>
    <n v="12.843999999999999"/>
    <n v="80.154659116951549"/>
    <s v="Positive"/>
  </r>
  <r>
    <d v="2025-10-08T00:00:00"/>
    <x v="3"/>
    <s v="Lead Generation"/>
    <n v="9558.39"/>
    <n v="95"/>
    <n v="21"/>
    <n v="63173.81"/>
    <n v="22.1053"/>
    <n v="560.92521857760562"/>
    <s v="Positive"/>
  </r>
  <r>
    <d v="2025-11-18T00:00:00"/>
    <x v="2"/>
    <s v="Brand Awareness"/>
    <n v="9231.3799999999992"/>
    <n v="137"/>
    <n v="30"/>
    <n v="128868.85"/>
    <n v="21.8978"/>
    <n v="1295.9868405373845"/>
    <s v="Positive"/>
  </r>
  <r>
    <d v="2025-11-30T00:00:00"/>
    <x v="0"/>
    <s v="Festival Offer"/>
    <n v="8351.2900000000009"/>
    <n v="26"/>
    <n v="2"/>
    <n v="2509.31"/>
    <n v="7.6923000000000004"/>
    <n v="-69.953025221253256"/>
    <s v="Negative"/>
  </r>
  <r>
    <d v="2025-05-05T00:00:00"/>
    <x v="0"/>
    <s v="Festival Offer"/>
    <n v="8379.0499999999993"/>
    <n v="113"/>
    <n v="26"/>
    <n v="121056.68"/>
    <n v="23.008800000000001"/>
    <n v="1344.7542382489662"/>
    <s v="Positive"/>
  </r>
  <r>
    <d v="2025-06-18T00:00:00"/>
    <x v="3"/>
    <s v="Lead Generation"/>
    <n v="6900.95"/>
    <n v="68"/>
    <n v="22"/>
    <n v="59357.69"/>
    <n v="32.352899999999998"/>
    <n v="760.13795202109873"/>
    <s v="Positive"/>
  </r>
  <r>
    <d v="2025-01-19T00:00:00"/>
    <x v="2"/>
    <s v="Festival Offer"/>
    <n v="14993.89"/>
    <n v="129"/>
    <n v="13"/>
    <n v="47619.24"/>
    <n v="10.077500000000001"/>
    <n v="217.59096538656749"/>
    <s v="Positive"/>
  </r>
  <r>
    <d v="2025-04-21T00:00:00"/>
    <x v="0"/>
    <s v="Lead Generation"/>
    <n v="14568.95"/>
    <n v="140"/>
    <n v="35"/>
    <n v="55315.91"/>
    <n v="25"/>
    <n v="279.68357362747491"/>
    <s v="Positive"/>
  </r>
  <r>
    <d v="2025-07-10T00:00:00"/>
    <x v="1"/>
    <s v="Retargeting Campaign"/>
    <n v="14360.14"/>
    <n v="170"/>
    <n v="44"/>
    <n v="61199.08"/>
    <n v="25.882400000000001"/>
    <n v="326.17328243317962"/>
    <s v="Positive"/>
  </r>
  <r>
    <d v="2025-07-12T00:00:00"/>
    <x v="1"/>
    <s v="New Product Launch"/>
    <n v="13399.44"/>
    <n v="125"/>
    <n v="44"/>
    <n v="155880.26"/>
    <n v="35.200000000000003"/>
    <n v="1063.3341393371663"/>
    <s v="Positive"/>
  </r>
  <r>
    <d v="2025-09-06T00:00:00"/>
    <x v="1"/>
    <s v="New Product Launch"/>
    <n v="11002.77"/>
    <n v="57"/>
    <n v="6"/>
    <n v="33039.870000000003"/>
    <n v="10.526300000000001"/>
    <n v="200.28683686017251"/>
    <s v="Positive"/>
  </r>
  <r>
    <d v="2025-05-06T00:00:00"/>
    <x v="3"/>
    <s v="New Product Launch"/>
    <n v="10043.49"/>
    <n v="84"/>
    <n v="12"/>
    <n v="49077.36"/>
    <n v="14.2857"/>
    <n v="388.64846781347921"/>
    <s v="Positive"/>
  </r>
  <r>
    <d v="2025-09-22T00:00:00"/>
    <x v="3"/>
    <s v="Retargeting Campaign"/>
    <n v="5995.91"/>
    <n v="216"/>
    <n v="42"/>
    <n v="99083.48"/>
    <n v="19.444400000000002"/>
    <n v="1552.5177996334166"/>
    <s v="Positive"/>
  </r>
  <r>
    <d v="2025-08-22T00:00:00"/>
    <x v="0"/>
    <s v="Lead Generation"/>
    <n v="11762.34"/>
    <n v="58"/>
    <n v="2"/>
    <n v="9380.24"/>
    <n v="3.4483000000000001"/>
    <n v="-20.25192266164726"/>
    <s v="Negative"/>
  </r>
  <r>
    <d v="2025-06-11T00:00:00"/>
    <x v="2"/>
    <s v="Lead Generation"/>
    <n v="6859.52"/>
    <n v="67"/>
    <n v="14"/>
    <n v="39698.44"/>
    <n v="20.895499999999998"/>
    <n v="478.73495521552519"/>
    <s v="Positive"/>
  </r>
  <r>
    <d v="2025-04-08T00:00:00"/>
    <x v="0"/>
    <s v="New Product Launch"/>
    <n v="4297.09"/>
    <n v="70"/>
    <n v="21"/>
    <n v="21169.7"/>
    <n v="30"/>
    <n v="392.65200403063466"/>
    <s v="Positive"/>
  </r>
  <r>
    <d v="2025-10-10T00:00:00"/>
    <x v="2"/>
    <s v="Lead Generation"/>
    <n v="11266.26"/>
    <n v="236"/>
    <n v="42"/>
    <n v="182186.9"/>
    <n v="17.796600000000002"/>
    <n v="1517.1018598896171"/>
    <s v="Positive"/>
  </r>
  <r>
    <d v="2025-06-03T00:00:00"/>
    <x v="2"/>
    <s v="Brand Awareness"/>
    <n v="8931.8700000000008"/>
    <n v="101"/>
    <n v="40"/>
    <n v="88546.41"/>
    <n v="39.603999999999999"/>
    <n v="891.35354634583803"/>
    <s v="Positive"/>
  </r>
  <r>
    <d v="2025-01-12T00:00:00"/>
    <x v="4"/>
    <s v="Festival Offer"/>
    <n v="4274.1899999999996"/>
    <n v="193"/>
    <n v="3"/>
    <n v="9416.6200000000008"/>
    <n v="1.5544"/>
    <n v="120.31355648672617"/>
    <s v="Positive"/>
  </r>
  <r>
    <d v="2025-12-03T00:00:00"/>
    <x v="2"/>
    <s v="Lead Generation"/>
    <n v="11494.02"/>
    <n v="106"/>
    <n v="29"/>
    <n v="116861"/>
    <n v="27.358499999999999"/>
    <n v="916.71129857090887"/>
    <s v="Positive"/>
  </r>
  <r>
    <d v="2025-04-26T00:00:00"/>
    <x v="3"/>
    <s v="Retargeting Campaign"/>
    <n v="12503.61"/>
    <n v="227"/>
    <n v="55"/>
    <n v="177225.99"/>
    <n v="24.229099999999999"/>
    <n v="1317.3985752914557"/>
    <s v="Positive"/>
  </r>
  <r>
    <d v="2025-06-30T00:00:00"/>
    <x v="4"/>
    <s v="Brand Awareness"/>
    <n v="7266.13"/>
    <n v="99"/>
    <n v="34"/>
    <n v="125451.91"/>
    <n v="34.343400000000003"/>
    <n v="1626.5299409727049"/>
    <s v="Positive"/>
  </r>
  <r>
    <d v="2025-04-29T00:00:00"/>
    <x v="0"/>
    <s v="Festival Offer"/>
    <n v="10189.19"/>
    <n v="184"/>
    <n v="21"/>
    <n v="113929.14"/>
    <n v="11.413"/>
    <n v="1018.1373592994144"/>
    <s v="Positive"/>
  </r>
  <r>
    <d v="2025-02-24T00:00:00"/>
    <x v="1"/>
    <s v="Brand Awareness"/>
    <n v="13896.8"/>
    <n v="150"/>
    <n v="39"/>
    <n v="105259.91"/>
    <n v="26"/>
    <n v="657.43991422485749"/>
    <s v="Positive"/>
  </r>
  <r>
    <d v="2025-06-05T00:00:00"/>
    <x v="4"/>
    <s v="Retargeting Campaign"/>
    <n v="14052.42"/>
    <n v="173"/>
    <n v="66"/>
    <n v="293535.71000000002"/>
    <n v="38.150300000000001"/>
    <n v="1988.8623454180849"/>
    <s v="Positive"/>
  </r>
  <r>
    <d v="2025-03-06T00:00:00"/>
    <x v="2"/>
    <s v="Lead Generation"/>
    <n v="9743.2999999999993"/>
    <n v="197"/>
    <n v="13"/>
    <n v="14960.95"/>
    <n v="6.5990000000000002"/>
    <n v="53.551158231810589"/>
    <s v="Positive"/>
  </r>
  <r>
    <d v="2025-03-17T00:00:00"/>
    <x v="1"/>
    <s v="Brand Awareness"/>
    <n v="7093.93"/>
    <n v="213"/>
    <n v="83"/>
    <n v="296879.28000000003"/>
    <n v="38.967100000000002"/>
    <n v="4084.9761697676749"/>
    <s v="Positive"/>
  </r>
  <r>
    <d v="2025-11-05T00:00:00"/>
    <x v="3"/>
    <s v="Lead Generation"/>
    <n v="4558.2700000000004"/>
    <n v="91"/>
    <n v="9"/>
    <n v="15827.79"/>
    <n v="9.8901000000000003"/>
    <n v="247.23239299120058"/>
    <s v="Positive"/>
  </r>
  <r>
    <d v="2025-02-01T00:00:00"/>
    <x v="3"/>
    <s v="Retargeting Campaign"/>
    <n v="14470.03"/>
    <n v="218"/>
    <n v="60"/>
    <n v="339736.51"/>
    <n v="27.5229"/>
    <n v="2247.8632041536885"/>
    <s v="Positive"/>
  </r>
  <r>
    <d v="2025-09-06T00:00:00"/>
    <x v="2"/>
    <s v="Lead Generation"/>
    <n v="13381.7"/>
    <n v="104"/>
    <n v="31"/>
    <n v="127165.34"/>
    <n v="29.807700000000001"/>
    <n v="850.29286264077052"/>
    <s v="Positive"/>
  </r>
  <r>
    <d v="2025-07-18T00:00:00"/>
    <x v="2"/>
    <s v="Retargeting Campaign"/>
    <n v="3797.62"/>
    <n v="130"/>
    <n v="37"/>
    <n v="44580.05"/>
    <n v="28.461500000000001"/>
    <n v="1073.89443914873"/>
    <s v="Positive"/>
  </r>
  <r>
    <d v="2025-08-31T00:00:00"/>
    <x v="2"/>
    <s v="Retargeting Campaign"/>
    <n v="6467.49"/>
    <n v="208"/>
    <n v="63"/>
    <n v="110388.08"/>
    <n v="30.288499999999999"/>
    <n v="1606.8148539850854"/>
    <s v="Positive"/>
  </r>
  <r>
    <d v="2025-01-26T00:00:00"/>
    <x v="4"/>
    <s v="New Product Launch"/>
    <n v="7032.13"/>
    <n v="142"/>
    <n v="13"/>
    <n v="53504.76"/>
    <n v="9.1548999999999996"/>
    <n v="660.8613606403751"/>
    <s v="Positive"/>
  </r>
  <r>
    <d v="2025-05-31T00:00:00"/>
    <x v="3"/>
    <s v="Brand Awareness"/>
    <n v="8509.41"/>
    <n v="187"/>
    <n v="53"/>
    <n v="96194.559999999998"/>
    <n v="28.342199999999998"/>
    <n v="1030.4492320854206"/>
    <s v="Positive"/>
  </r>
  <r>
    <d v="2025-10-16T00:00:00"/>
    <x v="2"/>
    <s v="Festival Offer"/>
    <n v="4009.31"/>
    <n v="107"/>
    <n v="13"/>
    <n v="42531.3"/>
    <n v="12.1495"/>
    <n v="960.81345667957839"/>
    <s v="Positive"/>
  </r>
  <r>
    <d v="2025-11-13T00:00:00"/>
    <x v="4"/>
    <s v="Brand Awareness"/>
    <n v="14060.07"/>
    <n v="126"/>
    <n v="16"/>
    <n v="38892.589999999997"/>
    <n v="12.698399999999999"/>
    <n v="176.61732836323003"/>
    <s v="Positive"/>
  </r>
  <r>
    <d v="2025-05-23T00:00:00"/>
    <x v="3"/>
    <s v="Lead Generation"/>
    <n v="1772.23"/>
    <n v="123"/>
    <n v="6"/>
    <n v="31423.08"/>
    <n v="4.8780000000000001"/>
    <n v="1673.0813720566744"/>
    <s v="Positive"/>
  </r>
  <r>
    <d v="2025-05-18T00:00:00"/>
    <x v="0"/>
    <s v="Lead Generation"/>
    <n v="2748.25"/>
    <n v="109"/>
    <n v="29"/>
    <n v="75072.2"/>
    <n v="26.605499999999999"/>
    <n v="2631.6364959519692"/>
    <s v="Positive"/>
  </r>
  <r>
    <d v="2025-10-23T00:00:00"/>
    <x v="0"/>
    <s v="Brand Awareness"/>
    <n v="7706.69"/>
    <n v="234"/>
    <n v="52"/>
    <n v="71582.039999999994"/>
    <n v="22.222200000000001"/>
    <n v="828.8298867607233"/>
    <s v="Positive"/>
  </r>
  <r>
    <d v="2025-01-29T00:00:00"/>
    <x v="4"/>
    <s v="Festival Offer"/>
    <n v="8343.9699999999993"/>
    <n v="248"/>
    <n v="39"/>
    <n v="61846.46"/>
    <n v="15.7258"/>
    <n v="641.21143772089306"/>
    <s v="Positive"/>
  </r>
  <r>
    <d v="2025-03-12T00:00:00"/>
    <x v="2"/>
    <s v="Festival Offer"/>
    <n v="12730.07"/>
    <n v="234"/>
    <n v="78"/>
    <n v="339573.75"/>
    <n v="33.333300000000001"/>
    <n v="2567.4931873901714"/>
    <s v="Positive"/>
  </r>
  <r>
    <d v="2025-03-10T00:00:00"/>
    <x v="2"/>
    <s v="Retargeting Campaign"/>
    <n v="6078.69"/>
    <n v="231"/>
    <n v="37"/>
    <n v="134788.84"/>
    <n v="16.017299999999999"/>
    <n v="2117.399472583731"/>
    <s v="Positive"/>
  </r>
  <r>
    <d v="2025-08-31T00:00:00"/>
    <x v="1"/>
    <s v="New Product Launch"/>
    <n v="8509.31"/>
    <n v="64"/>
    <n v="24"/>
    <n v="29119.43"/>
    <n v="37.5"/>
    <n v="242.20671241263986"/>
    <s v="Positive"/>
  </r>
  <r>
    <d v="2025-01-18T00:00:00"/>
    <x v="0"/>
    <s v="Lead Generation"/>
    <n v="14423.13"/>
    <n v="26"/>
    <n v="9"/>
    <n v="39333.42"/>
    <n v="34.615400000000001"/>
    <n v="172.71070842459301"/>
    <s v="Positive"/>
  </r>
  <r>
    <d v="2025-10-24T00:00:00"/>
    <x v="3"/>
    <s v="Festival Offer"/>
    <n v="9934.69"/>
    <n v="202"/>
    <n v="6"/>
    <n v="26409.09"/>
    <n v="2.9702999999999999"/>
    <n v="165.82701624308359"/>
    <s v="Positive"/>
  </r>
  <r>
    <d v="2025-12-28T00:00:00"/>
    <x v="3"/>
    <s v="New Product Launch"/>
    <n v="14791.16"/>
    <n v="225"/>
    <n v="39"/>
    <n v="152500.34"/>
    <n v="17.333300000000001"/>
    <n v="931.02353027078323"/>
    <s v="Positive"/>
  </r>
  <r>
    <d v="2025-11-07T00:00:00"/>
    <x v="3"/>
    <s v="Retargeting Campaign"/>
    <n v="12322.56"/>
    <n v="52"/>
    <n v="1"/>
    <n v="4413.54"/>
    <n v="1.9231"/>
    <n v="-64.183254129012155"/>
    <s v="Negative"/>
  </r>
  <r>
    <d v="2025-01-05T00:00:00"/>
    <x v="2"/>
    <s v="Retargeting Campaign"/>
    <n v="5737.2"/>
    <n v="36"/>
    <n v="5"/>
    <n v="5217.8100000000004"/>
    <n v="13.8889"/>
    <n v="-9.0530223802551664"/>
    <s v="Negative"/>
  </r>
  <r>
    <d v="2025-07-03T00:00:00"/>
    <x v="1"/>
    <s v="Festival Offer"/>
    <n v="2462.14"/>
    <n v="166"/>
    <n v="41"/>
    <n v="160061.39000000001"/>
    <n v="24.698799999999999"/>
    <n v="6400.9053100148649"/>
    <s v="Positive"/>
  </r>
  <r>
    <d v="2025-02-27T00:00:00"/>
    <x v="3"/>
    <s v="New Product Launch"/>
    <n v="6466.85"/>
    <n v="164"/>
    <n v="9"/>
    <n v="11939.27"/>
    <n v="5.4878"/>
    <n v="84.622652450574847"/>
    <s v="Positive"/>
  </r>
  <r>
    <d v="2025-09-05T00:00:00"/>
    <x v="2"/>
    <s v="Retargeting Campaign"/>
    <n v="14269.76"/>
    <n v="73"/>
    <n v="4"/>
    <n v="11585.55"/>
    <n v="5.4794999999999998"/>
    <n v="-18.81047754131815"/>
    <s v="Negative"/>
  </r>
  <r>
    <d v="2025-02-08T00:00:00"/>
    <x v="4"/>
    <s v="Lead Generation"/>
    <n v="8768.06"/>
    <n v="198"/>
    <n v="53"/>
    <n v="296052.67"/>
    <n v="26.767700000000001"/>
    <n v="3276.4900103329587"/>
    <s v="Positive"/>
  </r>
  <r>
    <d v="2025-01-21T00:00:00"/>
    <x v="4"/>
    <s v="Festival Offer"/>
    <n v="2012.81"/>
    <n v="201"/>
    <n v="75"/>
    <n v="271225.65000000002"/>
    <n v="37.313400000000001"/>
    <n v="13374.975283310399"/>
    <s v="Positive"/>
  </r>
  <r>
    <d v="2025-02-20T00:00:00"/>
    <x v="0"/>
    <s v="Lead Generation"/>
    <n v="6142.33"/>
    <n v="227"/>
    <n v="37"/>
    <n v="166260.18"/>
    <n v="16.299600000000002"/>
    <n v="2606.7933504061161"/>
    <s v="Positive"/>
  </r>
  <r>
    <d v="2025-08-15T00:00:00"/>
    <x v="4"/>
    <s v="New Product Launch"/>
    <n v="9924.74"/>
    <n v="192"/>
    <n v="36"/>
    <n v="191958.17"/>
    <n v="18.75"/>
    <n v="1834.1380227592867"/>
    <s v="Positive"/>
  </r>
  <r>
    <d v="2025-10-27T00:00:00"/>
    <x v="3"/>
    <s v="Lead Generation"/>
    <n v="2009.82"/>
    <n v="65"/>
    <n v="2"/>
    <n v="8900.7000000000007"/>
    <n v="3.0769000000000002"/>
    <n v="342.86055467653824"/>
    <s v="Positive"/>
  </r>
  <r>
    <d v="2025-05-09T00:00:00"/>
    <x v="2"/>
    <s v="Lead Generation"/>
    <n v="6592.27"/>
    <n v="142"/>
    <n v="3"/>
    <n v="14593.87"/>
    <n v="2.1126999999999998"/>
    <n v="121.37852363449919"/>
    <s v="Positive"/>
  </r>
  <r>
    <d v="2025-10-28T00:00:00"/>
    <x v="1"/>
    <s v="New Product Launch"/>
    <n v="7452.92"/>
    <n v="209"/>
    <n v="43"/>
    <n v="54709.04"/>
    <n v="20.574200000000001"/>
    <n v="634.06181738164378"/>
    <s v="Positive"/>
  </r>
  <r>
    <d v="2025-07-24T00:00:00"/>
    <x v="0"/>
    <s v="Brand Awareness"/>
    <n v="6545.2"/>
    <n v="61"/>
    <n v="10"/>
    <n v="32676.22"/>
    <n v="16.3934"/>
    <n v="399.23944264499175"/>
    <s v="Positive"/>
  </r>
  <r>
    <d v="2025-09-12T00:00:00"/>
    <x v="4"/>
    <s v="New Product Launch"/>
    <n v="9240.7000000000007"/>
    <n v="213"/>
    <n v="32"/>
    <n v="58545.66"/>
    <n v="15.0235"/>
    <n v="533.56304176090555"/>
    <s v="Positive"/>
  </r>
  <r>
    <d v="2025-02-21T00:00:00"/>
    <x v="4"/>
    <s v="Brand Awareness"/>
    <n v="3779.15"/>
    <n v="136"/>
    <n v="4"/>
    <n v="18343.57"/>
    <n v="2.9411999999999998"/>
    <n v="385.38877789979227"/>
    <s v="Positive"/>
  </r>
  <r>
    <d v="2025-11-02T00:00:00"/>
    <x v="1"/>
    <s v="Festival Offer"/>
    <n v="7001.88"/>
    <n v="99"/>
    <n v="28"/>
    <n v="155684.06"/>
    <n v="28.282800000000002"/>
    <n v="2123.4608419453061"/>
    <s v="Positive"/>
  </r>
  <r>
    <d v="2025-02-02T00:00:00"/>
    <x v="2"/>
    <s v="Retargeting Campaign"/>
    <n v="10087.370000000001"/>
    <n v="229"/>
    <n v="37"/>
    <n v="128404.11"/>
    <n v="16.1572"/>
    <n v="1172.9196014421993"/>
    <s v="Positive"/>
  </r>
  <r>
    <d v="2025-02-21T00:00:00"/>
    <x v="1"/>
    <s v="Festival Offer"/>
    <n v="11007.43"/>
    <n v="237"/>
    <n v="27"/>
    <n v="58472.26"/>
    <n v="11.3924"/>
    <n v="431.20719368644637"/>
    <s v="Positive"/>
  </r>
  <r>
    <d v="2025-08-16T00:00:00"/>
    <x v="3"/>
    <s v="New Product Launch"/>
    <n v="13922.86"/>
    <n v="147"/>
    <n v="8"/>
    <n v="20263.97"/>
    <n v="5.4421999999999997"/>
    <n v="45.544593567700893"/>
    <s v="Positive"/>
  </r>
  <r>
    <d v="2025-04-28T00:00:00"/>
    <x v="3"/>
    <s v="Festival Offer"/>
    <n v="3530.71"/>
    <n v="105"/>
    <n v="29"/>
    <n v="124157.45"/>
    <n v="27.619"/>
    <n v="3416.5009304077648"/>
    <s v="Positive"/>
  </r>
  <r>
    <d v="2025-02-19T00:00:00"/>
    <x v="3"/>
    <s v="Retargeting Campaign"/>
    <n v="3657.13"/>
    <n v="61"/>
    <n v="8"/>
    <n v="45025.02"/>
    <n v="13.114800000000001"/>
    <n v="1131.1572189120977"/>
    <s v="Positive"/>
  </r>
  <r>
    <d v="2025-09-06T00:00:00"/>
    <x v="4"/>
    <s v="New Product Launch"/>
    <n v="14510.07"/>
    <n v="236"/>
    <n v="86"/>
    <n v="180297.73"/>
    <n v="36.4407"/>
    <n v="1142.5696774722658"/>
    <s v="Positive"/>
  </r>
  <r>
    <d v="2025-01-25T00:00:00"/>
    <x v="0"/>
    <s v="Retargeting Campaign"/>
    <n v="3208.38"/>
    <n v="209"/>
    <n v="29"/>
    <n v="39274.03"/>
    <n v="13.8756"/>
    <n v="1124.1078051851714"/>
    <s v="Positive"/>
  </r>
  <r>
    <d v="2025-03-10T00:00:00"/>
    <x v="3"/>
    <s v="Retargeting Campaign"/>
    <n v="12445.74"/>
    <n v="99"/>
    <n v="16"/>
    <n v="34051.21"/>
    <n v="16.1616"/>
    <n v="173.59731120849384"/>
    <s v="Positive"/>
  </r>
  <r>
    <d v="2025-02-12T00:00:00"/>
    <x v="3"/>
    <s v="Festival Offer"/>
    <n v="8391.36"/>
    <n v="200"/>
    <n v="76"/>
    <n v="332770.12"/>
    <n v="38"/>
    <n v="3865.6279792548526"/>
    <s v="Positive"/>
  </r>
  <r>
    <d v="2025-02-27T00:00:00"/>
    <x v="3"/>
    <s v="Brand Awareness"/>
    <n v="5482.12"/>
    <n v="240"/>
    <n v="5"/>
    <n v="25835.55"/>
    <n v="2.0832999999999999"/>
    <n v="371.26932646494424"/>
    <s v="Positive"/>
  </r>
  <r>
    <d v="2025-09-01T00:00:00"/>
    <x v="3"/>
    <s v="New Product Launch"/>
    <n v="7437.12"/>
    <n v="99"/>
    <n v="32"/>
    <n v="179019.17"/>
    <n v="32.3232"/>
    <n v="2307.103421754658"/>
    <s v="Positive"/>
  </r>
  <r>
    <d v="2025-01-12T00:00:00"/>
    <x v="3"/>
    <s v="New Product Launch"/>
    <n v="2071.88"/>
    <n v="100"/>
    <n v="32"/>
    <n v="70478.58"/>
    <n v="32"/>
    <n v="3301.6728768075368"/>
    <s v="Positive"/>
  </r>
  <r>
    <d v="2025-03-24T00:00:00"/>
    <x v="2"/>
    <s v="Lead Generation"/>
    <n v="10785.91"/>
    <n v="74"/>
    <n v="19"/>
    <n v="86950.02"/>
    <n v="25.675699999999999"/>
    <n v="706.14449777533844"/>
    <s v="Positive"/>
  </r>
  <r>
    <d v="2025-08-20T00:00:00"/>
    <x v="2"/>
    <s v="Brand Awareness"/>
    <n v="14234.85"/>
    <n v="212"/>
    <n v="50"/>
    <n v="151349.73000000001"/>
    <n v="23.584900000000001"/>
    <n v="963.23375378033484"/>
    <s v="Positive"/>
  </r>
  <r>
    <d v="2025-04-23T00:00:00"/>
    <x v="1"/>
    <s v="Lead Generation"/>
    <n v="5297.13"/>
    <n v="248"/>
    <n v="3"/>
    <n v="12244.25"/>
    <n v="1.2097"/>
    <n v="131.148754136674"/>
    <s v="Positive"/>
  </r>
  <r>
    <d v="2025-01-21T00:00:00"/>
    <x v="3"/>
    <s v="Lead Generation"/>
    <n v="8697.0300000000007"/>
    <n v="36"/>
    <n v="12"/>
    <n v="13378.39"/>
    <n v="33.333300000000001"/>
    <n v="53.827111094247094"/>
    <s v="Positive"/>
  </r>
  <r>
    <d v="2025-05-29T00:00:00"/>
    <x v="3"/>
    <s v="New Product Launch"/>
    <n v="13756.54"/>
    <n v="183"/>
    <n v="47"/>
    <n v="140380.66"/>
    <n v="25.6831"/>
    <n v="920.46488433864897"/>
    <s v="Positive"/>
  </r>
  <r>
    <d v="2025-04-27T00:00:00"/>
    <x v="3"/>
    <s v="Retargeting Campaign"/>
    <n v="14151.33"/>
    <n v="123"/>
    <n v="32"/>
    <n v="127100.45"/>
    <n v="26.016300000000001"/>
    <n v="798.15197582135386"/>
    <s v="Positive"/>
  </r>
  <r>
    <d v="2025-02-28T00:00:00"/>
    <x v="3"/>
    <s v="New Product Launch"/>
    <n v="9802.2000000000007"/>
    <n v="52"/>
    <n v="4"/>
    <n v="15560"/>
    <n v="7.6923000000000004"/>
    <n v="58.739874722001176"/>
    <s v="Positive"/>
  </r>
  <r>
    <d v="2025-12-19T00:00:00"/>
    <x v="0"/>
    <s v="Retargeting Campaign"/>
    <n v="9656.73"/>
    <n v="181"/>
    <n v="9"/>
    <n v="52342.86"/>
    <n v="4.9724000000000004"/>
    <n v="442.03503670497162"/>
    <s v="Positive"/>
  </r>
  <r>
    <d v="2025-05-23T00:00:00"/>
    <x v="2"/>
    <s v="Brand Awareness"/>
    <n v="10499.07"/>
    <n v="102"/>
    <n v="17"/>
    <n v="41870.99"/>
    <n v="16.666699999999999"/>
    <n v="298.80665620859747"/>
    <s v="Positive"/>
  </r>
  <r>
    <d v="2025-02-27T00:00:00"/>
    <x v="2"/>
    <s v="Festival Offer"/>
    <n v="6640.14"/>
    <n v="35"/>
    <n v="3"/>
    <n v="11958.11"/>
    <n v="8.5714000000000006"/>
    <n v="80.088221031484281"/>
    <s v="Positive"/>
  </r>
  <r>
    <d v="2025-10-06T00:00:00"/>
    <x v="3"/>
    <s v="Brand Awareness"/>
    <n v="3752.89"/>
    <n v="35"/>
    <n v="6"/>
    <n v="25227.11"/>
    <n v="17.142900000000001"/>
    <n v="572.20488743341798"/>
    <s v="Positive"/>
  </r>
  <r>
    <d v="2025-01-09T00:00:00"/>
    <x v="3"/>
    <s v="Lead Generation"/>
    <n v="6451.02"/>
    <n v="234"/>
    <n v="3"/>
    <n v="15007.12"/>
    <n v="1.2821"/>
    <n v="132.63173885680092"/>
    <s v="Positive"/>
  </r>
  <r>
    <d v="2025-05-31T00:00:00"/>
    <x v="2"/>
    <s v="Festival Offer"/>
    <n v="10775.04"/>
    <n v="173"/>
    <n v="11"/>
    <n v="30796.65"/>
    <n v="6.3583999999999996"/>
    <n v="185.81471623307198"/>
    <s v="Positive"/>
  </r>
  <r>
    <d v="2025-10-05T00:00:00"/>
    <x v="1"/>
    <s v="Brand Awareness"/>
    <n v="11618.07"/>
    <n v="232"/>
    <n v="37"/>
    <n v="100106.78"/>
    <n v="15.9483"/>
    <n v="761.64724433576316"/>
    <s v="Positive"/>
  </r>
  <r>
    <d v="2025-03-05T00:00:00"/>
    <x v="3"/>
    <s v="New Product Launch"/>
    <n v="9836.2900000000009"/>
    <n v="58"/>
    <n v="23"/>
    <n v="56927.6"/>
    <n v="39.655200000000001"/>
    <n v="478.75072817088551"/>
    <s v="Positive"/>
  </r>
  <r>
    <d v="2025-11-29T00:00:00"/>
    <x v="2"/>
    <s v="Retargeting Campaign"/>
    <n v="5189.99"/>
    <n v="77"/>
    <n v="22"/>
    <n v="26830.76"/>
    <n v="28.571400000000001"/>
    <n v="416.97132364416882"/>
    <s v="Positive"/>
  </r>
  <r>
    <d v="2025-03-28T00:00:00"/>
    <x v="3"/>
    <s v="Lead Generation"/>
    <n v="6469.87"/>
    <n v="29"/>
    <n v="6"/>
    <n v="33984.21"/>
    <n v="20.689699999999998"/>
    <n v="425.26882302117349"/>
    <s v="Positive"/>
  </r>
  <r>
    <d v="2025-06-14T00:00:00"/>
    <x v="2"/>
    <s v="Retargeting Campaign"/>
    <n v="7258.94"/>
    <n v="138"/>
    <n v="15"/>
    <n v="36580.46"/>
    <n v="10.8696"/>
    <n v="403.93666292874724"/>
    <s v="Positive"/>
  </r>
  <r>
    <d v="2025-06-06T00:00:00"/>
    <x v="2"/>
    <s v="Festival Offer"/>
    <n v="6421.27"/>
    <n v="46"/>
    <n v="15"/>
    <n v="65643.039999999994"/>
    <n v="32.608699999999999"/>
    <n v="922.27503282061002"/>
    <s v="Positive"/>
  </r>
  <r>
    <d v="2025-03-16T00:00:00"/>
    <x v="2"/>
    <s v="Festival Offer"/>
    <n v="13193.88"/>
    <n v="159"/>
    <n v="32"/>
    <n v="103215.07"/>
    <n v="20.125800000000002"/>
    <n v="682.29504891661895"/>
    <s v="Positive"/>
  </r>
  <r>
    <d v="2025-02-22T00:00:00"/>
    <x v="0"/>
    <s v="New Product Launch"/>
    <n v="10413.1"/>
    <n v="208"/>
    <n v="1"/>
    <n v="5775.5"/>
    <n v="0.48080000000000001"/>
    <n v="-44.536209198029411"/>
    <s v="Negative"/>
  </r>
  <r>
    <d v="2025-06-17T00:00:00"/>
    <x v="4"/>
    <s v="Brand Awareness"/>
    <n v="11911.21"/>
    <n v="236"/>
    <n v="69"/>
    <n v="373195.88"/>
    <n v="29.237300000000001"/>
    <n v="3033.1483535257962"/>
    <s v="Positive"/>
  </r>
  <r>
    <d v="2025-09-24T00:00:00"/>
    <x v="0"/>
    <s v="New Product Launch"/>
    <n v="6765.77"/>
    <n v="105"/>
    <n v="12"/>
    <n v="17583.240000000002"/>
    <n v="11.428599999999999"/>
    <n v="159.88527543797676"/>
    <s v="Positive"/>
  </r>
  <r>
    <d v="2025-01-16T00:00:00"/>
    <x v="2"/>
    <s v="Lead Generation"/>
    <n v="14685"/>
    <n v="30"/>
    <n v="12"/>
    <n v="54786.83"/>
    <n v="40"/>
    <n v="273.08021790943144"/>
    <s v="Positive"/>
  </r>
  <r>
    <d v="2025-06-19T00:00:00"/>
    <x v="1"/>
    <s v="Festival Offer"/>
    <n v="9402.73"/>
    <n v="247"/>
    <n v="58"/>
    <n v="64983.15"/>
    <n v="23.4818"/>
    <n v="591.1093905706108"/>
    <s v="Positive"/>
  </r>
  <r>
    <d v="2025-08-17T00:00:00"/>
    <x v="2"/>
    <s v="Festival Offer"/>
    <n v="8389.23"/>
    <n v="163"/>
    <n v="50"/>
    <n v="199616.81"/>
    <n v="30.674800000000001"/>
    <n v="2279.4413790061781"/>
    <s v="Positive"/>
  </r>
  <r>
    <d v="2025-10-12T00:00:00"/>
    <x v="2"/>
    <s v="Retargeting Campaign"/>
    <n v="1051.78"/>
    <n v="125"/>
    <n v="31"/>
    <n v="176398.7"/>
    <n v="24.8"/>
    <n v="16671.444598680333"/>
    <s v="Positive"/>
  </r>
  <r>
    <d v="2025-03-07T00:00:00"/>
    <x v="2"/>
    <s v="Lead Generation"/>
    <n v="11925.14"/>
    <n v="240"/>
    <n v="11"/>
    <n v="63367.54"/>
    <n v="4.5833000000000004"/>
    <n v="431.37774483150724"/>
    <s v="Positive"/>
  </r>
  <r>
    <d v="2025-09-20T00:00:00"/>
    <x v="0"/>
    <s v="Retargeting Campaign"/>
    <n v="10293.27"/>
    <n v="46"/>
    <n v="3"/>
    <n v="17825.669999999998"/>
    <n v="6.5217000000000001"/>
    <n v="73.177911392589507"/>
    <s v="Positive"/>
  </r>
  <r>
    <d v="2025-05-02T00:00:00"/>
    <x v="0"/>
    <s v="Lead Generation"/>
    <n v="2636.95"/>
    <n v="102"/>
    <n v="7"/>
    <n v="39729.300000000003"/>
    <n v="6.8627000000000002"/>
    <n v="1406.6383511253537"/>
    <s v="Positive"/>
  </r>
  <r>
    <d v="2025-03-12T00:00:00"/>
    <x v="3"/>
    <s v="Retargeting Campaign"/>
    <n v="2428.4299999999998"/>
    <n v="211"/>
    <n v="4"/>
    <n v="11228.24"/>
    <n v="1.8956999999999999"/>
    <n v="362.3662201504676"/>
    <s v="Positive"/>
  </r>
  <r>
    <d v="2025-09-23T00:00:00"/>
    <x v="1"/>
    <s v="New Product Launch"/>
    <n v="2897.49"/>
    <n v="122"/>
    <n v="24"/>
    <n v="77717.14"/>
    <n v="19.6721"/>
    <n v="2582.2228894663999"/>
    <s v="Positive"/>
  </r>
  <r>
    <d v="2025-04-26T00:00:00"/>
    <x v="1"/>
    <s v="New Product Launch"/>
    <n v="5882.02"/>
    <n v="138"/>
    <n v="19"/>
    <n v="73231.179999999993"/>
    <n v="13.7681"/>
    <n v="1145.0005270298298"/>
    <s v="Positive"/>
  </r>
  <r>
    <d v="2025-10-26T00:00:00"/>
    <x v="3"/>
    <s v="Lead Generation"/>
    <n v="3027.14"/>
    <n v="33"/>
    <n v="2"/>
    <n v="9318.16"/>
    <n v="6.0606"/>
    <n v="207.82058312466555"/>
    <s v="Positive"/>
  </r>
  <r>
    <d v="2025-09-09T00:00:00"/>
    <x v="4"/>
    <s v="Brand Awareness"/>
    <n v="4765.49"/>
    <n v="70"/>
    <n v="23"/>
    <n v="100699.56"/>
    <n v="32.857100000000003"/>
    <n v="2013.0998071551928"/>
    <s v="Positive"/>
  </r>
  <r>
    <d v="2025-06-26T00:00:00"/>
    <x v="2"/>
    <s v="New Product Launch"/>
    <n v="13638.1"/>
    <n v="161"/>
    <n v="27"/>
    <n v="139953.98000000001"/>
    <n v="16.770199999999999"/>
    <n v="926.19851738878583"/>
    <s v="Positive"/>
  </r>
  <r>
    <d v="2025-06-14T00:00:00"/>
    <x v="0"/>
    <s v="Retargeting Campaign"/>
    <n v="8563.65"/>
    <n v="189"/>
    <n v="8"/>
    <n v="24055.35"/>
    <n v="4.2328000000000001"/>
    <n v="180.90066735562522"/>
    <s v="Positive"/>
  </r>
  <r>
    <d v="2025-01-31T00:00:00"/>
    <x v="0"/>
    <s v="Brand Awareness"/>
    <n v="9228.35"/>
    <n v="114"/>
    <n v="36"/>
    <n v="126842.86"/>
    <n v="31.578900000000001"/>
    <n v="1274.4912145724857"/>
    <s v="Positive"/>
  </r>
  <r>
    <d v="2025-09-12T00:00:00"/>
    <x v="1"/>
    <s v="Brand Awareness"/>
    <n v="8572.7800000000007"/>
    <n v="94"/>
    <n v="20"/>
    <n v="65161.19"/>
    <n v="21.276599999999998"/>
    <n v="660.0940418394033"/>
    <s v="Positive"/>
  </r>
  <r>
    <d v="2025-08-20T00:00:00"/>
    <x v="2"/>
    <s v="Festival Offer"/>
    <n v="3554.06"/>
    <n v="206"/>
    <n v="81"/>
    <n v="427435.6"/>
    <n v="39.320399999999999"/>
    <n v="11926.684974367343"/>
    <s v="Positive"/>
  </r>
  <r>
    <d v="2025-10-25T00:00:00"/>
    <x v="1"/>
    <s v="Lead Generation"/>
    <n v="14893.76"/>
    <n v="107"/>
    <n v="8"/>
    <n v="45191.96"/>
    <n v="7.4766000000000004"/>
    <n v="203.4288185119137"/>
    <s v="Positive"/>
  </r>
  <r>
    <d v="2025-04-24T00:00:00"/>
    <x v="1"/>
    <s v="Lead Generation"/>
    <n v="13780.49"/>
    <n v="117"/>
    <n v="32"/>
    <n v="71430.14"/>
    <n v="27.3504"/>
    <n v="418.34252628172146"/>
    <s v="Positive"/>
  </r>
  <r>
    <d v="2025-11-23T00:00:00"/>
    <x v="4"/>
    <s v="Brand Awareness"/>
    <n v="7325.38"/>
    <n v="160"/>
    <n v="4"/>
    <n v="14963.5"/>
    <n v="2.5"/>
    <n v="104.269266577297"/>
    <s v="Positive"/>
  </r>
  <r>
    <d v="2025-08-09T00:00:00"/>
    <x v="0"/>
    <s v="New Product Launch"/>
    <n v="6147.28"/>
    <n v="149"/>
    <n v="15"/>
    <n v="66099.13"/>
    <n v="10.0671"/>
    <n v="975.25816295987829"/>
    <s v="Positive"/>
  </r>
  <r>
    <d v="2025-03-14T00:00:00"/>
    <x v="3"/>
    <s v="Retargeting Campaign"/>
    <n v="14732.18"/>
    <n v="182"/>
    <n v="20"/>
    <n v="98127.360000000001"/>
    <n v="10.989000000000001"/>
    <n v="566.0749461383175"/>
    <s v="Positive"/>
  </r>
  <r>
    <d v="2025-02-25T00:00:00"/>
    <x v="1"/>
    <s v="Lead Generation"/>
    <n v="8055.12"/>
    <n v="213"/>
    <n v="34"/>
    <n v="156075.22"/>
    <n v="15.962400000000001"/>
    <n v="1837.5902531557567"/>
    <s v="Positive"/>
  </r>
  <r>
    <d v="2025-04-18T00:00:00"/>
    <x v="2"/>
    <s v="Retargeting Campaign"/>
    <n v="11401.9"/>
    <n v="128"/>
    <n v="11"/>
    <n v="24993.51"/>
    <n v="8.5937999999999999"/>
    <n v="119.20478165919715"/>
    <s v="Positive"/>
  </r>
  <r>
    <d v="2025-04-30T00:00:00"/>
    <x v="0"/>
    <s v="New Product Launch"/>
    <n v="4981.5"/>
    <n v="28"/>
    <n v="8"/>
    <n v="13963.63"/>
    <n v="28.571400000000001"/>
    <n v="180.30974606042355"/>
    <s v="Positive"/>
  </r>
  <r>
    <d v="2025-07-28T00:00:00"/>
    <x v="2"/>
    <s v="Festival Offer"/>
    <n v="12560.12"/>
    <n v="130"/>
    <n v="43"/>
    <n v="165552.78"/>
    <n v="33.076900000000002"/>
    <n v="1218.0827890179391"/>
    <s v="Positive"/>
  </r>
  <r>
    <d v="2025-01-29T00:00:00"/>
    <x v="3"/>
    <s v="Festival Offer"/>
    <n v="2095.7600000000002"/>
    <n v="44"/>
    <n v="13"/>
    <n v="31620.26"/>
    <n v="29.545500000000001"/>
    <n v="1408.772951101271"/>
    <s v="Positive"/>
  </r>
  <r>
    <d v="2025-05-15T00:00:00"/>
    <x v="2"/>
    <s v="Festival Offer"/>
    <n v="10081.549999999999"/>
    <n v="44"/>
    <n v="10"/>
    <n v="11304.03"/>
    <n v="22.7273"/>
    <n v="12.125913178033155"/>
    <s v="Positive"/>
  </r>
  <r>
    <d v="2025-04-19T00:00:00"/>
    <x v="2"/>
    <s v="Festival Offer"/>
    <n v="4868.43"/>
    <n v="21"/>
    <n v="6"/>
    <n v="14731.16"/>
    <n v="28.571400000000001"/>
    <n v="202.58543308623106"/>
    <s v="Positive"/>
  </r>
  <r>
    <d v="2025-07-15T00:00:00"/>
    <x v="4"/>
    <s v="Festival Offer"/>
    <n v="11291.7"/>
    <n v="175"/>
    <n v="17"/>
    <n v="39314.300000000003"/>
    <n v="9.7142999999999997"/>
    <n v="248.16989470141783"/>
    <s v="Positive"/>
  </r>
  <r>
    <d v="2025-12-15T00:00:00"/>
    <x v="2"/>
    <s v="Brand Awareness"/>
    <n v="1163.81"/>
    <n v="242"/>
    <n v="10"/>
    <n v="46427.97"/>
    <n v="4.1322000000000001"/>
    <n v="3889.3083922633423"/>
    <s v="Positive"/>
  </r>
  <r>
    <d v="2025-04-25T00:00:00"/>
    <x v="1"/>
    <s v="Retargeting Campaign"/>
    <n v="14444.26"/>
    <n v="120"/>
    <n v="43"/>
    <n v="59010.71"/>
    <n v="35.833300000000001"/>
    <n v="308.5409013684328"/>
    <s v="Positive"/>
  </r>
  <r>
    <d v="2025-07-09T00:00:00"/>
    <x v="1"/>
    <s v="Retargeting Campaign"/>
    <n v="5273.96"/>
    <n v="159"/>
    <n v="25"/>
    <n v="37456.339999999997"/>
    <n v="15.7233"/>
    <n v="610.21281920985371"/>
    <s v="Positive"/>
  </r>
  <r>
    <d v="2025-10-30T00:00:00"/>
    <x v="2"/>
    <s v="Brand Awareness"/>
    <n v="1355.71"/>
    <n v="130"/>
    <n v="1"/>
    <n v="4899.87"/>
    <n v="0.76919999999999999"/>
    <n v="261.4246409630378"/>
    <s v="Positive"/>
  </r>
  <r>
    <d v="2025-04-09T00:00:00"/>
    <x v="0"/>
    <s v="New Product Launch"/>
    <n v="13257.9"/>
    <n v="111"/>
    <n v="39"/>
    <n v="94875.24"/>
    <n v="35.135100000000001"/>
    <n v="615.61287986785248"/>
    <s v="Positive"/>
  </r>
  <r>
    <d v="2025-10-22T00:00:00"/>
    <x v="2"/>
    <s v="Retargeting Campaign"/>
    <n v="7002.81"/>
    <n v="44"/>
    <n v="14"/>
    <n v="49978.97"/>
    <n v="31.818200000000001"/>
    <n v="613.69878662993858"/>
    <s v="Positive"/>
  </r>
  <r>
    <d v="2025-09-09T00:00:00"/>
    <x v="4"/>
    <s v="Festival Offer"/>
    <n v="8074.41"/>
    <n v="95"/>
    <n v="29"/>
    <n v="54477.64"/>
    <n v="30.526299999999999"/>
    <n v="574.69499319454917"/>
    <s v="Positive"/>
  </r>
  <r>
    <d v="2025-06-09T00:00:00"/>
    <x v="0"/>
    <s v="Brand Awareness"/>
    <n v="2081.96"/>
    <n v="47"/>
    <n v="12"/>
    <n v="63837.86"/>
    <n v="25.5319"/>
    <n v="2966.2385444485003"/>
    <s v="Positive"/>
  </r>
  <r>
    <d v="2025-06-05T00:00:00"/>
    <x v="3"/>
    <s v="Brand Awareness"/>
    <n v="1334.31"/>
    <n v="123"/>
    <n v="16"/>
    <n v="83960.960000000006"/>
    <n v="13.008100000000001"/>
    <n v="6192.4627710202285"/>
    <s v="Positive"/>
  </r>
  <r>
    <d v="2025-01-10T00:00:00"/>
    <x v="3"/>
    <s v="Brand Awareness"/>
    <n v="2644.13"/>
    <n v="135"/>
    <n v="28"/>
    <n v="114463.08"/>
    <n v="20.7407"/>
    <n v="4228.9505432788856"/>
    <s v="Positive"/>
  </r>
  <r>
    <d v="2025-11-22T00:00:00"/>
    <x v="3"/>
    <s v="Lead Generation"/>
    <n v="1848.84"/>
    <n v="113"/>
    <n v="1"/>
    <n v="4085.62"/>
    <n v="0.88500000000000001"/>
    <n v="120.9828865667121"/>
    <s v="Positive"/>
  </r>
  <r>
    <d v="2025-03-05T00:00:00"/>
    <x v="0"/>
    <s v="Lead Generation"/>
    <n v="8957.83"/>
    <n v="33"/>
    <n v="10"/>
    <n v="41399.629999999997"/>
    <n v="30.303000000000001"/>
    <n v="362.16137167148736"/>
    <s v="Positive"/>
  </r>
  <r>
    <d v="2025-08-02T00:00:00"/>
    <x v="2"/>
    <s v="Brand Awareness"/>
    <n v="6377.66"/>
    <n v="36"/>
    <n v="9"/>
    <n v="42532.72"/>
    <n v="25"/>
    <n v="566.90165358454351"/>
    <s v="Positive"/>
  </r>
  <r>
    <d v="2025-02-21T00:00:00"/>
    <x v="2"/>
    <s v="New Product Launch"/>
    <n v="11516.13"/>
    <n v="85"/>
    <n v="15"/>
    <n v="42388"/>
    <n v="17.647099999999998"/>
    <n v="268.07503909733572"/>
    <s v="Positive"/>
  </r>
  <r>
    <d v="2025-01-27T00:00:00"/>
    <x v="4"/>
    <s v="Festival Offer"/>
    <n v="3161.13"/>
    <n v="96"/>
    <n v="5"/>
    <n v="13173.92"/>
    <n v="5.2083000000000004"/>
    <n v="316.74717585167332"/>
    <s v="Positive"/>
  </r>
  <r>
    <d v="2025-07-06T00:00:00"/>
    <x v="4"/>
    <s v="Festival Offer"/>
    <n v="14806.47"/>
    <n v="153"/>
    <n v="53"/>
    <n v="94865.97"/>
    <n v="34.640500000000003"/>
    <n v="540.70619127989323"/>
    <s v="Positive"/>
  </r>
  <r>
    <d v="2025-12-23T00:00:00"/>
    <x v="4"/>
    <s v="Festival Offer"/>
    <n v="1505.49"/>
    <n v="87"/>
    <n v="28"/>
    <n v="144794.84"/>
    <n v="32.183900000000001"/>
    <n v="9517.7882284173265"/>
    <s v="Positive"/>
  </r>
  <r>
    <d v="2025-08-26T00:00:00"/>
    <x v="4"/>
    <s v="Brand Awareness"/>
    <n v="8188.23"/>
    <n v="139"/>
    <n v="18"/>
    <n v="31115.02"/>
    <n v="12.9496"/>
    <n v="279.99689798650019"/>
    <s v="Positive"/>
  </r>
  <r>
    <d v="2025-10-12T00:00:00"/>
    <x v="3"/>
    <s v="Festival Offer"/>
    <n v="11278.94"/>
    <n v="63"/>
    <n v="11"/>
    <n v="15967.21"/>
    <n v="17.4603"/>
    <n v="41.566583384608826"/>
    <s v="Positive"/>
  </r>
  <r>
    <d v="2025-12-17T00:00:00"/>
    <x v="2"/>
    <s v="Lead Generation"/>
    <n v="11530.86"/>
    <n v="178"/>
    <n v="64"/>
    <n v="336780.68"/>
    <n v="35.955100000000002"/>
    <n v="2820.6900439342771"/>
    <s v="Positive"/>
  </r>
  <r>
    <d v="2025-04-14T00:00:00"/>
    <x v="4"/>
    <s v="Festival Offer"/>
    <n v="4597.63"/>
    <n v="111"/>
    <n v="9"/>
    <n v="19883.47"/>
    <n v="8.1081000000000003"/>
    <n v="332.47216500675347"/>
    <s v="Positive"/>
  </r>
  <r>
    <d v="2025-03-30T00:00:00"/>
    <x v="3"/>
    <s v="Retargeting Campaign"/>
    <n v="8298.36"/>
    <n v="211"/>
    <n v="5"/>
    <n v="16753.939999999999"/>
    <n v="2.3696999999999999"/>
    <n v="101.8945912204339"/>
    <s v="Positive"/>
  </r>
  <r>
    <d v="2025-01-30T00:00:00"/>
    <x v="4"/>
    <s v="Festival Offer"/>
    <n v="2468.91"/>
    <n v="221"/>
    <n v="84"/>
    <n v="387766.2"/>
    <n v="38.009"/>
    <n v="15605.967410719713"/>
    <s v="Positive"/>
  </r>
  <r>
    <d v="2025-02-17T00:00:00"/>
    <x v="0"/>
    <s v="Festival Offer"/>
    <n v="8045.14"/>
    <n v="106"/>
    <n v="39"/>
    <n v="81839.11"/>
    <n v="36.792499999999997"/>
    <n v="917.24904725088686"/>
    <s v="Positive"/>
  </r>
  <r>
    <d v="2025-05-06T00:00:00"/>
    <x v="2"/>
    <s v="Festival Offer"/>
    <n v="2417.88"/>
    <n v="188"/>
    <n v="66"/>
    <n v="367907.96"/>
    <n v="35.106400000000001"/>
    <n v="15116.138104455144"/>
    <s v="Positive"/>
  </r>
  <r>
    <d v="2025-06-25T00:00:00"/>
    <x v="1"/>
    <s v="Retargeting Campaign"/>
    <n v="7555.1"/>
    <n v="26"/>
    <n v="8"/>
    <n v="36242.69"/>
    <n v="30.769200000000001"/>
    <n v="379.71158555148185"/>
    <s v="Positive"/>
  </r>
  <r>
    <d v="2025-12-07T00:00:00"/>
    <x v="1"/>
    <s v="New Product Launch"/>
    <n v="7517.09"/>
    <n v="205"/>
    <n v="66"/>
    <n v="100682.97"/>
    <n v="32.195099999999996"/>
    <n v="1239.3875821627785"/>
    <s v="Positive"/>
  </r>
  <r>
    <d v="2025-11-05T00:00:00"/>
    <x v="4"/>
    <s v="Retargeting Campaign"/>
    <n v="5354.02"/>
    <n v="76"/>
    <n v="13"/>
    <n v="74590.289999999994"/>
    <n v="17.1053"/>
    <n v="1293.1642018520661"/>
    <s v="Positive"/>
  </r>
  <r>
    <d v="2025-08-26T00:00:00"/>
    <x v="4"/>
    <s v="New Product Launch"/>
    <n v="3234.68"/>
    <n v="173"/>
    <n v="64"/>
    <n v="329505.73"/>
    <n v="36.994199999999999"/>
    <n v="10086.656176190536"/>
    <s v="Positive"/>
  </r>
  <r>
    <d v="2025-06-13T00:00:00"/>
    <x v="4"/>
    <s v="Lead Generation"/>
    <n v="11035.94"/>
    <n v="86"/>
    <n v="2"/>
    <n v="7864.63"/>
    <n v="2.3256000000000001"/>
    <n v="-28.736201900336539"/>
    <s v="Negative"/>
  </r>
  <r>
    <d v="2025-02-16T00:00:00"/>
    <x v="4"/>
    <s v="Retargeting Campaign"/>
    <n v="12402.41"/>
    <n v="35"/>
    <n v="9"/>
    <n v="33085.5"/>
    <n v="25.714300000000001"/>
    <n v="166.76670098795313"/>
    <s v="Positive"/>
  </r>
  <r>
    <d v="2025-12-26T00:00:00"/>
    <x v="2"/>
    <s v="New Product Launch"/>
    <n v="7672.2"/>
    <n v="140"/>
    <n v="24"/>
    <n v="40946.31"/>
    <n v="17.142900000000001"/>
    <n v="433.69711425666696"/>
    <s v="Positive"/>
  </r>
  <r>
    <d v="2025-11-11T00:00:00"/>
    <x v="2"/>
    <s v="Retargeting Campaign"/>
    <n v="7178.08"/>
    <n v="218"/>
    <n v="70"/>
    <n v="210280.79"/>
    <n v="32.110100000000003"/>
    <n v="2829.4851826672316"/>
    <s v="Positive"/>
  </r>
  <r>
    <d v="2025-04-08T00:00:00"/>
    <x v="1"/>
    <s v="Brand Awareness"/>
    <n v="5761.07"/>
    <n v="20"/>
    <n v="3"/>
    <n v="6113.39"/>
    <n v="15"/>
    <n v="6.1155306219157319"/>
    <s v="Positive"/>
  </r>
  <r>
    <d v="2025-06-21T00:00:00"/>
    <x v="1"/>
    <s v="Festival Offer"/>
    <n v="3042.12"/>
    <n v="165"/>
    <n v="43"/>
    <n v="190956.39"/>
    <n v="26.060600000000001"/>
    <n v="6177.0827580766054"/>
    <s v="Positive"/>
  </r>
  <r>
    <d v="2025-11-08T00:00:00"/>
    <x v="4"/>
    <s v="New Product Launch"/>
    <n v="11911.42"/>
    <n v="86"/>
    <n v="30"/>
    <n v="178283.83"/>
    <n v="34.883699999999997"/>
    <n v="1396.7470712979641"/>
    <s v="Positive"/>
  </r>
  <r>
    <d v="2025-03-08T00:00:00"/>
    <x v="1"/>
    <s v="Brand Awareness"/>
    <n v="4138.6499999999996"/>
    <n v="55"/>
    <n v="19"/>
    <n v="91324.13"/>
    <n v="34.545499999999997"/>
    <n v="2106.6164087323168"/>
    <s v="Positive"/>
  </r>
  <r>
    <d v="2025-08-04T00:00:00"/>
    <x v="1"/>
    <s v="Lead Generation"/>
    <n v="1606.56"/>
    <n v="60"/>
    <n v="1"/>
    <n v="3004.12"/>
    <n v="1.6667000000000001"/>
    <n v="86.99083756597949"/>
    <s v="Positive"/>
  </r>
  <r>
    <d v="2025-05-08T00:00:00"/>
    <x v="1"/>
    <s v="Brand Awareness"/>
    <n v="14381.56"/>
    <n v="120"/>
    <n v="21"/>
    <n v="31380.49"/>
    <n v="17.5"/>
    <n v="118.19948600847196"/>
    <s v="Positive"/>
  </r>
  <r>
    <d v="2025-08-16T00:00:00"/>
    <x v="3"/>
    <s v="Brand Awareness"/>
    <n v="13418.11"/>
    <n v="70"/>
    <n v="2"/>
    <n v="2537.8000000000002"/>
    <n v="2.8571"/>
    <n v="-81.086755139136585"/>
    <s v="Negative"/>
  </r>
  <r>
    <d v="2025-02-09T00:00:00"/>
    <x v="0"/>
    <s v="Brand Awareness"/>
    <n v="3175.83"/>
    <n v="47"/>
    <n v="2"/>
    <n v="9779.7199999999993"/>
    <n v="4.2553000000000001"/>
    <n v="207.94217574618287"/>
    <s v="Positive"/>
  </r>
  <r>
    <d v="2025-02-20T00:00:00"/>
    <x v="3"/>
    <s v="Festival Offer"/>
    <n v="12186.72"/>
    <n v="240"/>
    <n v="15"/>
    <n v="40700.959999999999"/>
    <n v="6.25"/>
    <n v="233.97796946184042"/>
    <s v="Positive"/>
  </r>
  <r>
    <d v="2025-12-23T00:00:00"/>
    <x v="1"/>
    <s v="Retargeting Campaign"/>
    <n v="11149.61"/>
    <n v="232"/>
    <n v="48"/>
    <n v="91153"/>
    <n v="20.689699999999998"/>
    <n v="717.54429078685257"/>
    <s v="Positive"/>
  </r>
  <r>
    <d v="2025-10-08T00:00:00"/>
    <x v="2"/>
    <s v="Festival Offer"/>
    <n v="2139.16"/>
    <n v="175"/>
    <n v="33"/>
    <n v="168001.67"/>
    <n v="18.857099999999999"/>
    <n v="7753.6280596121851"/>
    <s v="Positive"/>
  </r>
  <r>
    <d v="2025-09-15T00:00:00"/>
    <x v="2"/>
    <s v="Brand Awareness"/>
    <n v="2996.94"/>
    <n v="121"/>
    <n v="27"/>
    <n v="36957.699999999997"/>
    <n v="22.314"/>
    <n v="1133.1811781350309"/>
    <s v="Positive"/>
  </r>
  <r>
    <d v="2025-01-23T00:00:00"/>
    <x v="1"/>
    <s v="Lead Generation"/>
    <n v="5856.77"/>
    <n v="143"/>
    <n v="8"/>
    <n v="8044.12"/>
    <n v="5.5944000000000003"/>
    <n v="37.347377479395625"/>
    <s v="Positive"/>
  </r>
  <r>
    <d v="2025-11-16T00:00:00"/>
    <x v="1"/>
    <s v="Festival Offer"/>
    <n v="11837.83"/>
    <n v="197"/>
    <n v="18"/>
    <n v="46386.93"/>
    <n v="9.1371000000000002"/>
    <n v="291.8533210900984"/>
    <s v="Positive"/>
  </r>
  <r>
    <d v="2025-08-05T00:00:00"/>
    <x v="0"/>
    <s v="New Product Launch"/>
    <n v="8041.82"/>
    <n v="164"/>
    <n v="60"/>
    <n v="241831.26"/>
    <n v="36.5854"/>
    <n v="2907.170764826868"/>
    <s v="Positive"/>
  </r>
  <r>
    <d v="2025-02-15T00:00:00"/>
    <x v="2"/>
    <s v="Festival Offer"/>
    <n v="8314.9"/>
    <n v="177"/>
    <n v="50"/>
    <n v="168625.48"/>
    <n v="28.2486"/>
    <n v="1927.9916775908312"/>
    <s v="Positive"/>
  </r>
  <r>
    <d v="2025-05-06T00:00:00"/>
    <x v="0"/>
    <s v="New Product Launch"/>
    <n v="13717.99"/>
    <n v="73"/>
    <n v="1"/>
    <n v="1982.46"/>
    <n v="1.3698999999999999"/>
    <n v="-85.548465919569836"/>
    <s v="Negative"/>
  </r>
  <r>
    <d v="2025-08-02T00:00:00"/>
    <x v="2"/>
    <s v="Retargeting Campaign"/>
    <n v="10452.75"/>
    <n v="142"/>
    <n v="37"/>
    <n v="157667.22"/>
    <n v="26.0563"/>
    <n v="1408.3802827007248"/>
    <s v="Positive"/>
  </r>
  <r>
    <d v="2025-11-08T00:00:00"/>
    <x v="2"/>
    <s v="Retargeting Campaign"/>
    <n v="3637.84"/>
    <n v="50"/>
    <n v="3"/>
    <n v="7957.95"/>
    <n v="6"/>
    <n v="118.75481054691794"/>
    <s v="Positive"/>
  </r>
  <r>
    <d v="2025-12-30T00:00:00"/>
    <x v="1"/>
    <s v="New Product Launch"/>
    <n v="14524.49"/>
    <n v="168"/>
    <n v="1"/>
    <n v="2229.46"/>
    <n v="0.59519999999999995"/>
    <n v="-84.65033884150148"/>
    <s v="Negative"/>
  </r>
  <r>
    <d v="2025-12-28T00:00:00"/>
    <x v="2"/>
    <s v="Lead Generation"/>
    <n v="10529.82"/>
    <n v="80"/>
    <n v="32"/>
    <n v="88549.759999999995"/>
    <n v="40"/>
    <n v="740.94277015181649"/>
    <s v="Positive"/>
  </r>
  <r>
    <d v="2025-09-26T00:00:00"/>
    <x v="4"/>
    <s v="Brand Awareness"/>
    <n v="12768.84"/>
    <n v="116"/>
    <n v="32"/>
    <n v="119036.49"/>
    <n v="27.586200000000002"/>
    <n v="832.24200475532632"/>
    <s v="Positive"/>
  </r>
  <r>
    <d v="2025-04-23T00:00:00"/>
    <x v="0"/>
    <s v="Brand Awareness"/>
    <n v="14181.97"/>
    <n v="164"/>
    <n v="35"/>
    <n v="105637.75999999999"/>
    <n v="21.3415"/>
    <n v="644.87366705753857"/>
    <s v="Positive"/>
  </r>
  <r>
    <d v="2025-09-01T00:00:00"/>
    <x v="1"/>
    <s v="Lead Generation"/>
    <n v="2037.01"/>
    <n v="84"/>
    <n v="4"/>
    <n v="7415.27"/>
    <n v="4.7618999999999998"/>
    <n v="264.02717708798684"/>
    <s v="Positive"/>
  </r>
  <r>
    <d v="2025-10-23T00:00:00"/>
    <x v="2"/>
    <s v="Lead Generation"/>
    <n v="9188.4599999999991"/>
    <n v="249"/>
    <n v="73"/>
    <n v="125195.1"/>
    <n v="29.317299999999999"/>
    <n v="1262.5253851026182"/>
    <s v="Positive"/>
  </r>
  <r>
    <d v="2025-06-22T00:00:00"/>
    <x v="1"/>
    <s v="New Product Launch"/>
    <n v="8359.26"/>
    <n v="102"/>
    <n v="28"/>
    <n v="162318.35"/>
    <n v="27.451000000000001"/>
    <n v="1841.7789373700543"/>
    <s v="Positive"/>
  </r>
  <r>
    <d v="2025-07-15T00:00:00"/>
    <x v="0"/>
    <s v="Festival Offer"/>
    <n v="3111.53"/>
    <n v="189"/>
    <n v="53"/>
    <n v="61899.41"/>
    <n v="28.042300000000001"/>
    <n v="1889.3560402760058"/>
    <s v="Positive"/>
  </r>
  <r>
    <d v="2025-09-20T00:00:00"/>
    <x v="4"/>
    <s v="Retargeting Campaign"/>
    <n v="3121.06"/>
    <n v="148"/>
    <n v="14"/>
    <n v="42128.67"/>
    <n v="9.4595000000000002"/>
    <n v="1249.81929216356"/>
    <s v="Positive"/>
  </r>
  <r>
    <d v="2025-12-23T00:00:00"/>
    <x v="0"/>
    <s v="Festival Offer"/>
    <n v="12098.11"/>
    <n v="59"/>
    <n v="4"/>
    <n v="9638.76"/>
    <n v="6.7797000000000001"/>
    <n v="-20.328381871217903"/>
    <s v="Negative"/>
  </r>
  <r>
    <d v="2025-04-25T00:00:00"/>
    <x v="4"/>
    <s v="Festival Offer"/>
    <n v="2831.88"/>
    <n v="173"/>
    <n v="20"/>
    <n v="32208.97"/>
    <n v="11.560700000000001"/>
    <n v="1037.3705806743224"/>
    <s v="Positive"/>
  </r>
  <r>
    <d v="2025-10-10T00:00:00"/>
    <x v="2"/>
    <s v="New Product Launch"/>
    <n v="7794.99"/>
    <n v="95"/>
    <n v="10"/>
    <n v="49774.11"/>
    <n v="10.526300000000001"/>
    <n v="538.53975438069847"/>
    <s v="Positive"/>
  </r>
  <r>
    <d v="2025-05-01T00:00:00"/>
    <x v="1"/>
    <s v="Lead Generation"/>
    <n v="7076.51"/>
    <n v="51"/>
    <n v="14"/>
    <n v="43234.17"/>
    <n v="27.451000000000001"/>
    <n v="510.9532806425766"/>
    <s v="Positive"/>
  </r>
  <r>
    <d v="2025-08-26T00:00:00"/>
    <x v="0"/>
    <s v="New Product Launch"/>
    <n v="8898.02"/>
    <n v="223"/>
    <n v="8"/>
    <n v="33942.51"/>
    <n v="3.5874000000000001"/>
    <n v="281.46138129606362"/>
    <s v="Positive"/>
  </r>
  <r>
    <d v="2025-03-13T00:00:00"/>
    <x v="3"/>
    <s v="New Product Launch"/>
    <n v="7490.08"/>
    <n v="117"/>
    <n v="31"/>
    <n v="60836.84"/>
    <n v="26.495699999999999"/>
    <n v="712.23217909555035"/>
    <s v="Positive"/>
  </r>
  <r>
    <d v="2025-08-29T00:00:00"/>
    <x v="3"/>
    <s v="Retargeting Campaign"/>
    <n v="12188.69"/>
    <n v="220"/>
    <n v="10"/>
    <n v="32072.73"/>
    <n v="4.5454999999999997"/>
    <n v="163.13516875070249"/>
    <s v="Positive"/>
  </r>
  <r>
    <d v="2025-12-01T00:00:00"/>
    <x v="1"/>
    <s v="Lead Generation"/>
    <n v="9597.17"/>
    <n v="158"/>
    <n v="61"/>
    <n v="301895.21999999997"/>
    <n v="38.607599999999998"/>
    <n v="3045.66919206391"/>
    <s v="Positive"/>
  </r>
  <r>
    <d v="2025-06-03T00:00:00"/>
    <x v="2"/>
    <s v="Retargeting Campaign"/>
    <n v="11011.67"/>
    <n v="224"/>
    <n v="55"/>
    <n v="202097.25"/>
    <n v="24.553599999999999"/>
    <n v="1735.3006401390523"/>
    <s v="Positive"/>
  </r>
  <r>
    <d v="2025-09-09T00:00:00"/>
    <x v="3"/>
    <s v="Retargeting Campaign"/>
    <n v="14220.26"/>
    <n v="82"/>
    <n v="8"/>
    <n v="10642.4"/>
    <n v="9.7561"/>
    <n v="-25.160299460066131"/>
    <s v="Negative"/>
  </r>
  <r>
    <d v="2025-08-09T00:00:00"/>
    <x v="2"/>
    <s v="New Product Launch"/>
    <n v="7072.33"/>
    <n v="244"/>
    <n v="45"/>
    <n v="221445.85"/>
    <n v="18.442599999999999"/>
    <n v="3031.1583311299109"/>
    <s v="Positive"/>
  </r>
  <r>
    <d v="2025-08-31T00:00:00"/>
    <x v="3"/>
    <s v="Festival Offer"/>
    <n v="1185.02"/>
    <n v="83"/>
    <n v="27"/>
    <n v="75525.119999999995"/>
    <n v="32.530099999999997"/>
    <n v="6273.3202815142358"/>
    <s v="Positive"/>
  </r>
  <r>
    <d v="2025-11-07T00:00:00"/>
    <x v="3"/>
    <s v="Lead Generation"/>
    <n v="9677.7900000000009"/>
    <n v="33"/>
    <n v="8"/>
    <n v="41306.65"/>
    <n v="24.2424"/>
    <n v="326.81903616424825"/>
    <s v="Positive"/>
  </r>
  <r>
    <d v="2025-09-01T00:00:00"/>
    <x v="3"/>
    <s v="Brand Awareness"/>
    <n v="13528.34"/>
    <n v="203"/>
    <n v="50"/>
    <n v="80813.23"/>
    <n v="24.630500000000001"/>
    <n v="497.36249975976358"/>
    <s v="Positive"/>
  </r>
  <r>
    <d v="2025-11-13T00:00:00"/>
    <x v="1"/>
    <s v="Lead Generation"/>
    <n v="1889.4"/>
    <n v="84"/>
    <n v="17"/>
    <n v="46129.25"/>
    <n v="20.238099999999999"/>
    <n v="2341.4761299883558"/>
    <s v="Positive"/>
  </r>
  <r>
    <d v="2025-04-03T00:00:00"/>
    <x v="4"/>
    <s v="Retargeting Campaign"/>
    <n v="11783.91"/>
    <n v="116"/>
    <n v="36"/>
    <n v="105811.26"/>
    <n v="31.034500000000001"/>
    <n v="797.9299740069298"/>
    <s v="Positive"/>
  </r>
  <r>
    <d v="2025-06-23T00:00:00"/>
    <x v="0"/>
    <s v="New Product Launch"/>
    <n v="4618.28"/>
    <n v="78"/>
    <n v="25"/>
    <n v="25517.72"/>
    <n v="32.051299999999998"/>
    <n v="452.53730826195044"/>
    <s v="Positive"/>
  </r>
  <r>
    <d v="2025-09-23T00:00:00"/>
    <x v="2"/>
    <s v="Brand Awareness"/>
    <n v="8542.42"/>
    <n v="50"/>
    <n v="9"/>
    <n v="35621.29"/>
    <n v="18"/>
    <n v="316.99295984041999"/>
    <s v="Positive"/>
  </r>
  <r>
    <d v="2025-08-17T00:00:00"/>
    <x v="3"/>
    <s v="Brand Awareness"/>
    <n v="7881.49"/>
    <n v="143"/>
    <n v="12"/>
    <n v="53876.21"/>
    <n v="8.3916000000000004"/>
    <n v="583.57899331217834"/>
    <s v="Positive"/>
  </r>
  <r>
    <d v="2025-06-12T00:00:00"/>
    <x v="4"/>
    <s v="Retargeting Campaign"/>
    <n v="12016.32"/>
    <n v="230"/>
    <n v="44"/>
    <n v="261683.59"/>
    <n v="19.130400000000002"/>
    <n v="2077.7348639184042"/>
    <s v="Positive"/>
  </r>
  <r>
    <d v="2025-11-12T00:00:00"/>
    <x v="3"/>
    <s v="New Product Launch"/>
    <n v="6722.52"/>
    <n v="109"/>
    <n v="22"/>
    <n v="36563.279999999999"/>
    <n v="20.183499999999999"/>
    <n v="443.89246889559269"/>
    <s v="Positive"/>
  </r>
  <r>
    <d v="2025-10-13T00:00:00"/>
    <x v="2"/>
    <s v="Lead Generation"/>
    <n v="8843.61"/>
    <n v="235"/>
    <n v="33"/>
    <n v="168499.19"/>
    <n v="14.0426"/>
    <n v="1805.3213563239447"/>
    <s v="Positive"/>
  </r>
  <r>
    <d v="2025-05-26T00:00:00"/>
    <x v="4"/>
    <s v="Brand Awareness"/>
    <n v="13606.49"/>
    <n v="127"/>
    <n v="40"/>
    <n v="145884.01999999999"/>
    <n v="31.496099999999998"/>
    <n v="972.16497421451095"/>
    <s v="Positive"/>
  </r>
  <r>
    <d v="2025-09-25T00:00:00"/>
    <x v="1"/>
    <s v="Festival Offer"/>
    <n v="14959.53"/>
    <n v="42"/>
    <n v="16"/>
    <n v="62679.29"/>
    <n v="38.095199999999998"/>
    <n v="318.99237476043697"/>
    <s v="Positive"/>
  </r>
  <r>
    <d v="2025-11-11T00:00:00"/>
    <x v="3"/>
    <s v="Retargeting Campaign"/>
    <n v="3676.02"/>
    <n v="54"/>
    <n v="17"/>
    <n v="65012.01"/>
    <n v="31.4815"/>
    <n v="1668.5434246821292"/>
    <s v="Positive"/>
  </r>
  <r>
    <d v="2025-07-14T00:00:00"/>
    <x v="1"/>
    <s v="Festival Offer"/>
    <n v="14101.38"/>
    <n v="92"/>
    <n v="5"/>
    <n v="9256.57"/>
    <n v="5.4348000000000001"/>
    <n v="-34.356992010711011"/>
    <s v="Negative"/>
  </r>
  <r>
    <d v="2025-11-10T00:00:00"/>
    <x v="3"/>
    <s v="Retargeting Campaign"/>
    <n v="14514.46"/>
    <n v="83"/>
    <n v="24"/>
    <n v="82156.350000000006"/>
    <n v="28.915700000000001"/>
    <n v="466.03104765867982"/>
    <s v="Positive"/>
  </r>
  <r>
    <d v="2025-08-17T00:00:00"/>
    <x v="1"/>
    <s v="Festival Offer"/>
    <n v="5022.3"/>
    <n v="216"/>
    <n v="23"/>
    <n v="91587.36"/>
    <n v="10.648099999999999"/>
    <n v="1723.6138820858969"/>
    <s v="Positive"/>
  </r>
  <r>
    <d v="2025-03-16T00:00:00"/>
    <x v="3"/>
    <s v="Retargeting Campaign"/>
    <n v="14820.16"/>
    <n v="201"/>
    <n v="55"/>
    <n v="158569.07999999999"/>
    <n v="27.363199999999999"/>
    <n v="969.9552501457473"/>
    <s v="Positive"/>
  </r>
  <r>
    <d v="2025-05-20T00:00:00"/>
    <x v="4"/>
    <s v="Festival Offer"/>
    <n v="9813.93"/>
    <n v="136"/>
    <n v="12"/>
    <n v="66373.399999999994"/>
    <n v="8.8234999999999992"/>
    <n v="576.31825374747928"/>
    <s v="Positive"/>
  </r>
  <r>
    <d v="2025-01-02T00:00:00"/>
    <x v="0"/>
    <s v="Brand Awareness"/>
    <n v="2741.03"/>
    <n v="220"/>
    <n v="27"/>
    <n v="69730.009999999995"/>
    <n v="12.2727"/>
    <n v="2443.9345793369644"/>
    <s v="Positive"/>
  </r>
  <r>
    <d v="2025-09-08T00:00:00"/>
    <x v="1"/>
    <s v="Festival Offer"/>
    <n v="13163.77"/>
    <n v="20"/>
    <n v="1"/>
    <n v="1540.51"/>
    <n v="5"/>
    <n v="-88.297349467515758"/>
    <s v="Negative"/>
  </r>
  <r>
    <d v="2025-07-01T00:00:00"/>
    <x v="2"/>
    <s v="Retargeting Campaign"/>
    <n v="11048.48"/>
    <n v="225"/>
    <n v="14"/>
    <n v="58336.07"/>
    <n v="6.2222"/>
    <n v="428.00086527739563"/>
    <s v="Positive"/>
  </r>
  <r>
    <d v="2025-09-07T00:00:00"/>
    <x v="0"/>
    <s v="Festival Offer"/>
    <n v="9175.9"/>
    <n v="193"/>
    <n v="52"/>
    <n v="271928.12"/>
    <n v="26.943000000000001"/>
    <n v="2863.5035255397288"/>
    <s v="Positive"/>
  </r>
  <r>
    <d v="2025-06-06T00:00:00"/>
    <x v="4"/>
    <s v="Lead Generation"/>
    <n v="13463.59"/>
    <n v="229"/>
    <n v="84"/>
    <n v="447633.62"/>
    <n v="36.681199999999997"/>
    <n v="3224.7716248043794"/>
    <s v="Positive"/>
  </r>
  <r>
    <d v="2025-01-12T00:00:00"/>
    <x v="3"/>
    <s v="Lead Generation"/>
    <n v="12382.64"/>
    <n v="128"/>
    <n v="32"/>
    <n v="186717.47"/>
    <n v="25"/>
    <n v="1407.8971043331635"/>
    <s v="Positive"/>
  </r>
  <r>
    <d v="2025-02-13T00:00:00"/>
    <x v="1"/>
    <s v="Festival Offer"/>
    <n v="14852.61"/>
    <n v="234"/>
    <n v="39"/>
    <n v="215671.48"/>
    <n v="16.666699999999999"/>
    <n v="1352.0779849467533"/>
    <s v="Positive"/>
  </r>
  <r>
    <d v="2025-10-27T00:00:00"/>
    <x v="4"/>
    <s v="Retargeting Campaign"/>
    <n v="14886.19"/>
    <n v="86"/>
    <n v="14"/>
    <n v="57627.44"/>
    <n v="16.2791"/>
    <n v="287.12014289754461"/>
    <s v="Positive"/>
  </r>
  <r>
    <d v="2025-10-31T00:00:00"/>
    <x v="2"/>
    <s v="Festival Offer"/>
    <n v="3378.74"/>
    <n v="40"/>
    <n v="16"/>
    <n v="76825.47"/>
    <n v="40"/>
    <n v="2173.7905254621546"/>
    <s v="Positive"/>
  </r>
  <r>
    <d v="2025-12-04T00:00:00"/>
    <x v="0"/>
    <s v="Brand Awareness"/>
    <n v="5995.12"/>
    <n v="130"/>
    <n v="29"/>
    <n v="99755.38"/>
    <n v="22.307700000000001"/>
    <n v="1563.9430069790099"/>
    <s v="Positive"/>
  </r>
  <r>
    <d v="2025-01-05T00:00:00"/>
    <x v="0"/>
    <s v="Brand Awareness"/>
    <n v="6265.88"/>
    <n v="167"/>
    <n v="53"/>
    <n v="279184.93"/>
    <n v="31.736499999999999"/>
    <n v="4355.6379949823486"/>
    <s v="Positive"/>
  </r>
  <r>
    <d v="2025-01-11T00:00:00"/>
    <x v="2"/>
    <s v="Brand Awareness"/>
    <n v="13643.22"/>
    <n v="191"/>
    <n v="31"/>
    <n v="179960.25"/>
    <n v="16.230399999999999"/>
    <n v="1219.0452840311891"/>
    <s v="Positive"/>
  </r>
  <r>
    <d v="2025-01-15T00:00:00"/>
    <x v="2"/>
    <s v="Lead Generation"/>
    <n v="4872.0600000000004"/>
    <n v="93"/>
    <n v="4"/>
    <n v="17629.45"/>
    <n v="4.3010999999999999"/>
    <n v="261.84796574754824"/>
    <s v="Positive"/>
  </r>
  <r>
    <d v="2025-11-21T00:00:00"/>
    <x v="2"/>
    <s v="Festival Offer"/>
    <n v="14645.35"/>
    <n v="192"/>
    <n v="76"/>
    <n v="159028.69"/>
    <n v="39.583300000000001"/>
    <n v="985.8647283950196"/>
    <s v="Positive"/>
  </r>
  <r>
    <d v="2025-11-21T00:00:00"/>
    <x v="3"/>
    <s v="Festival Offer"/>
    <n v="7980.63"/>
    <n v="126"/>
    <n v="31"/>
    <n v="44048.54"/>
    <n v="24.603200000000001"/>
    <n v="451.94314233337474"/>
    <s v="Positive"/>
  </r>
  <r>
    <d v="2025-09-22T00:00:00"/>
    <x v="0"/>
    <s v="Lead Generation"/>
    <n v="8190.59"/>
    <n v="135"/>
    <n v="10"/>
    <n v="58116.14"/>
    <n v="7.4074"/>
    <n v="609.54766384350819"/>
    <s v="Positive"/>
  </r>
  <r>
    <d v="2025-11-19T00:00:00"/>
    <x v="2"/>
    <s v="Lead Generation"/>
    <n v="5340.21"/>
    <n v="156"/>
    <n v="46"/>
    <n v="240142.62"/>
    <n v="29.487200000000001"/>
    <n v="4396.8759655519161"/>
    <s v="Positive"/>
  </r>
  <r>
    <d v="2025-10-28T00:00:00"/>
    <x v="2"/>
    <s v="Lead Generation"/>
    <n v="8680.2900000000009"/>
    <n v="45"/>
    <n v="13"/>
    <n v="32794.300000000003"/>
    <n v="28.8889"/>
    <n v="277.80189371553251"/>
    <s v="Positive"/>
  </r>
  <r>
    <d v="2025-05-07T00:00:00"/>
    <x v="0"/>
    <s v="Festival Offer"/>
    <n v="13714.74"/>
    <n v="164"/>
    <n v="9"/>
    <n v="37904.57"/>
    <n v="5.4878"/>
    <n v="176.37833455100133"/>
    <s v="Positive"/>
  </r>
  <r>
    <d v="2025-11-11T00:00:00"/>
    <x v="3"/>
    <s v="New Product Launch"/>
    <n v="1753.49"/>
    <n v="68"/>
    <n v="26"/>
    <n v="76586.14"/>
    <n v="38.235300000000002"/>
    <n v="4267.6405340207239"/>
    <s v="Positive"/>
  </r>
  <r>
    <d v="2025-10-10T00:00:00"/>
    <x v="0"/>
    <s v="Festival Offer"/>
    <n v="10940.66"/>
    <n v="112"/>
    <n v="16"/>
    <n v="25962.95"/>
    <n v="14.2857"/>
    <n v="137.30698148009353"/>
    <s v="Positive"/>
  </r>
  <r>
    <d v="2025-04-21T00:00:00"/>
    <x v="4"/>
    <s v="Lead Generation"/>
    <n v="6861.19"/>
    <n v="123"/>
    <n v="22"/>
    <n v="89188.83"/>
    <n v="17.886199999999999"/>
    <n v="1199.9032237847955"/>
    <s v="Positive"/>
  </r>
  <r>
    <d v="2025-08-11T00:00:00"/>
    <x v="4"/>
    <s v="Brand Awareness"/>
    <n v="9004.9"/>
    <n v="67"/>
    <n v="8"/>
    <n v="14156.14"/>
    <n v="11.940300000000001"/>
    <n v="57.204855134426815"/>
    <s v="Positive"/>
  </r>
  <r>
    <d v="2025-12-22T00:00:00"/>
    <x v="0"/>
    <s v="Festival Offer"/>
    <n v="2108.7399999999998"/>
    <n v="40"/>
    <n v="13"/>
    <n v="19664.07"/>
    <n v="32.5"/>
    <n v="832.50329580697496"/>
    <s v="Positive"/>
  </r>
  <r>
    <d v="2025-07-17T00:00:00"/>
    <x v="4"/>
    <s v="Festival Offer"/>
    <n v="12958.97"/>
    <n v="112"/>
    <n v="7"/>
    <n v="9363.41"/>
    <n v="6.25"/>
    <n v="-27.745723618466588"/>
    <s v="Negative"/>
  </r>
  <r>
    <d v="2025-04-10T00:00:00"/>
    <x v="2"/>
    <s v="Festival Offer"/>
    <n v="5757.48"/>
    <n v="68"/>
    <n v="9"/>
    <n v="10813.66"/>
    <n v="13.235300000000001"/>
    <n v="87.819323731910501"/>
    <s v="Positive"/>
  </r>
  <r>
    <d v="2025-09-12T00:00:00"/>
    <x v="3"/>
    <s v="Festival Offer"/>
    <n v="4667.24"/>
    <n v="61"/>
    <n v="2"/>
    <n v="7567.95"/>
    <n v="3.2787000000000002"/>
    <n v="62.150435803601276"/>
    <s v="Positive"/>
  </r>
  <r>
    <d v="2025-06-14T00:00:00"/>
    <x v="4"/>
    <s v="Lead Generation"/>
    <n v="9378.31"/>
    <n v="208"/>
    <n v="10"/>
    <n v="44676.08"/>
    <n v="4.8076999999999996"/>
    <n v="376.37666061369271"/>
    <s v="Positive"/>
  </r>
  <r>
    <d v="2025-01-19T00:00:00"/>
    <x v="4"/>
    <s v="New Product Launch"/>
    <n v="8445.2900000000009"/>
    <n v="194"/>
    <n v="55"/>
    <n v="205189.89"/>
    <n v="28.3505"/>
    <n v="2329.6369929274183"/>
    <s v="Positive"/>
  </r>
  <r>
    <d v="2025-01-03T00:00:00"/>
    <x v="3"/>
    <s v="New Product Launch"/>
    <n v="6193.03"/>
    <n v="137"/>
    <n v="49"/>
    <n v="147573.24"/>
    <n v="35.766399999999997"/>
    <n v="2282.8923806278995"/>
    <s v="Positive"/>
  </r>
  <r>
    <d v="2025-11-07T00:00:00"/>
    <x v="1"/>
    <s v="New Product Launch"/>
    <n v="5540.71"/>
    <n v="233"/>
    <n v="27"/>
    <n v="86284.94"/>
    <n v="11.587999999999999"/>
    <n v="1457.290311169507"/>
    <s v="Positive"/>
  </r>
  <r>
    <d v="2025-02-09T00:00:00"/>
    <x v="2"/>
    <s v="Brand Awareness"/>
    <n v="9968.2999999999993"/>
    <n v="188"/>
    <n v="24"/>
    <n v="142719.03"/>
    <n v="12.766"/>
    <n v="1331.7288805513479"/>
    <s v="Positive"/>
  </r>
  <r>
    <d v="2025-05-26T00:00:00"/>
    <x v="0"/>
    <s v="Lead Generation"/>
    <n v="2999.04"/>
    <n v="236"/>
    <n v="7"/>
    <n v="33875.97"/>
    <n v="2.9661"/>
    <n v="1029.5604593469911"/>
    <s v="Positiv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5-12-04T00:00:00"/>
    <x v="0"/>
    <s v="Retargeting Campaign"/>
    <n v="7360.05"/>
    <n v="165"/>
    <n v="43"/>
    <n v="167838.75"/>
    <n v="26.060600000000001"/>
    <n v="21.803999999999998"/>
    <x v="0"/>
  </r>
  <r>
    <d v="2025-05-22T00:00:00"/>
    <x v="1"/>
    <s v="Brand Awareness"/>
    <n v="7368.04"/>
    <n v="209"/>
    <n v="15"/>
    <n v="62582.54"/>
    <n v="7.1769999999999996"/>
    <n v="7.4938000000000002"/>
    <x v="0"/>
  </r>
  <r>
    <d v="2025-08-24T00:00:00"/>
    <x v="1"/>
    <s v="New Product Launch"/>
    <n v="7235.8"/>
    <n v="119"/>
    <n v="3"/>
    <n v="4509.8599999999997"/>
    <n v="2.5209999999999999"/>
    <n v="-0.37669999999999998"/>
    <x v="1"/>
  </r>
  <r>
    <d v="2025-05-18T00:00:00"/>
    <x v="2"/>
    <s v="Lead Generation"/>
    <n v="12798.4"/>
    <n v="57"/>
    <n v="4"/>
    <n v="17070.38"/>
    <n v="7.0175000000000001"/>
    <n v="0.33379999999999999"/>
    <x v="0"/>
  </r>
  <r>
    <d v="2025-05-22T00:00:00"/>
    <x v="0"/>
    <s v="Retargeting Campaign"/>
    <n v="4915.18"/>
    <n v="147"/>
    <n v="45"/>
    <n v="189352.53"/>
    <n v="30.612200000000001"/>
    <n v="37.524000000000001"/>
    <x v="0"/>
  </r>
  <r>
    <d v="2025-06-12T00:00:00"/>
    <x v="2"/>
    <s v="New Product Launch"/>
    <n v="8538.7800000000007"/>
    <n v="130"/>
    <n v="22"/>
    <n v="23113.9"/>
    <n v="16.923100000000002"/>
    <n v="1.7069000000000001"/>
    <x v="0"/>
  </r>
  <r>
    <d v="2025-09-03T00:00:00"/>
    <x v="2"/>
    <s v="Retargeting Campaign"/>
    <n v="9245.33"/>
    <n v="210"/>
    <n v="4"/>
    <n v="8592.58"/>
    <n v="1.9048"/>
    <n v="-7.0599999999999996E-2"/>
    <x v="1"/>
  </r>
  <r>
    <d v="2025-12-22T00:00:00"/>
    <x v="3"/>
    <s v="New Product Launch"/>
    <n v="10679.92"/>
    <n v="83"/>
    <n v="6"/>
    <n v="18958.7"/>
    <n v="7.2289000000000003"/>
    <n v="0.7752"/>
    <x v="0"/>
  </r>
  <r>
    <d v="2025-03-10T00:00:00"/>
    <x v="3"/>
    <s v="New Product Launch"/>
    <n v="4814.6000000000004"/>
    <n v="154"/>
    <n v="14"/>
    <n v="33526.81"/>
    <n v="9.0908999999999995"/>
    <n v="5.9635999999999996"/>
    <x v="0"/>
  </r>
  <r>
    <d v="2025-06-29T00:00:00"/>
    <x v="1"/>
    <s v="Brand Awareness"/>
    <n v="3918.93"/>
    <n v="199"/>
    <n v="74"/>
    <n v="198353.93"/>
    <n v="37.185899999999997"/>
    <n v="49.6143"/>
    <x v="0"/>
  </r>
  <r>
    <d v="2025-12-13T00:00:00"/>
    <x v="4"/>
    <s v="Retargeting Campaign"/>
    <n v="8874.23"/>
    <n v="88"/>
    <n v="24"/>
    <n v="35160.620000000003"/>
    <n v="27.2727"/>
    <n v="2.9621"/>
    <x v="0"/>
  </r>
  <r>
    <d v="2025-08-25T00:00:00"/>
    <x v="2"/>
    <s v="New Product Launch"/>
    <n v="14140.08"/>
    <n v="26"/>
    <n v="2"/>
    <n v="4448.71"/>
    <n v="7.6923000000000004"/>
    <n v="-0.68540000000000001"/>
    <x v="1"/>
  </r>
  <r>
    <d v="2025-10-02T00:00:00"/>
    <x v="4"/>
    <s v="Lead Generation"/>
    <n v="1437.55"/>
    <n v="199"/>
    <n v="74"/>
    <n v="204297.89"/>
    <n v="37.185899999999997"/>
    <n v="141.11529999999999"/>
    <x v="0"/>
  </r>
  <r>
    <d v="2025-11-06T00:00:00"/>
    <x v="1"/>
    <s v="Retargeting Campaign"/>
    <n v="13075.87"/>
    <n v="218"/>
    <n v="25"/>
    <n v="115009.98"/>
    <n v="11.4679"/>
    <n v="7.7956000000000003"/>
    <x v="0"/>
  </r>
  <r>
    <d v="2025-08-14T00:00:00"/>
    <x v="3"/>
    <s v="Brand Awareness"/>
    <n v="10604.99"/>
    <n v="90"/>
    <n v="24"/>
    <n v="125649.56"/>
    <n v="26.666699999999999"/>
    <n v="10.8482"/>
    <x v="0"/>
  </r>
  <r>
    <d v="2025-02-25T00:00:00"/>
    <x v="3"/>
    <s v="Retargeting Campaign"/>
    <n v="4789.6099999999997"/>
    <n v="97"/>
    <n v="28"/>
    <n v="37840.11"/>
    <n v="28.866"/>
    <n v="6.9005000000000001"/>
    <x v="0"/>
  </r>
  <r>
    <d v="2025-09-28T00:00:00"/>
    <x v="4"/>
    <s v="New Product Launch"/>
    <n v="3225.55"/>
    <n v="64"/>
    <n v="19"/>
    <n v="23750.3"/>
    <n v="29.6875"/>
    <n v="6.3632"/>
    <x v="0"/>
  </r>
  <r>
    <d v="2025-02-02T00:00:00"/>
    <x v="0"/>
    <s v="Retargeting Campaign"/>
    <n v="2862.7"/>
    <n v="213"/>
    <n v="55"/>
    <n v="64536.9"/>
    <n v="25.8216"/>
    <n v="21.5441"/>
    <x v="0"/>
  </r>
  <r>
    <d v="2025-05-22T00:00:00"/>
    <x v="3"/>
    <s v="Lead Generation"/>
    <n v="10358.5"/>
    <n v="241"/>
    <n v="68"/>
    <n v="179095.34"/>
    <n v="28.215800000000002"/>
    <n v="16.2897"/>
    <x v="0"/>
  </r>
  <r>
    <d v="2025-01-30T00:00:00"/>
    <x v="0"/>
    <s v="Festival Offer"/>
    <n v="11353.79"/>
    <n v="48"/>
    <n v="19"/>
    <n v="105615.47"/>
    <n v="39.583300000000001"/>
    <n v="8.3021999999999991"/>
    <x v="0"/>
  </r>
  <r>
    <d v="2025-04-14T00:00:00"/>
    <x v="0"/>
    <s v="Festival Offer"/>
    <n v="12224.2"/>
    <n v="171"/>
    <n v="3"/>
    <n v="5714.86"/>
    <n v="1.7544"/>
    <n v="-0.53249999999999997"/>
    <x v="1"/>
  </r>
  <r>
    <d v="2025-06-09T00:00:00"/>
    <x v="1"/>
    <s v="Festival Offer"/>
    <n v="4893.91"/>
    <n v="220"/>
    <n v="21"/>
    <n v="86663.19"/>
    <n v="9.5455000000000005"/>
    <n v="16.708400000000001"/>
    <x v="0"/>
  </r>
  <r>
    <d v="2025-07-26T00:00:00"/>
    <x v="3"/>
    <s v="Festival Offer"/>
    <n v="14271.89"/>
    <n v="202"/>
    <n v="12"/>
    <n v="41944.95"/>
    <n v="5.9405999999999999"/>
    <n v="1.9390000000000001"/>
    <x v="0"/>
  </r>
  <r>
    <d v="2025-06-14T00:00:00"/>
    <x v="3"/>
    <s v="Retargeting Campaign"/>
    <n v="6648.73"/>
    <n v="211"/>
    <n v="66"/>
    <n v="244089.28"/>
    <n v="31.279599999999999"/>
    <n v="35.712200000000003"/>
    <x v="0"/>
  </r>
  <r>
    <d v="2025-06-29T00:00:00"/>
    <x v="0"/>
    <s v="Lead Generation"/>
    <n v="10652.75"/>
    <n v="208"/>
    <n v="45"/>
    <n v="238518.05"/>
    <n v="21.634599999999999"/>
    <n v="21.3903"/>
    <x v="0"/>
  </r>
  <r>
    <d v="2025-06-15T00:00:00"/>
    <x v="0"/>
    <s v="Lead Generation"/>
    <n v="12257.16"/>
    <n v="241"/>
    <n v="89"/>
    <n v="367325.59"/>
    <n v="36.929499999999997"/>
    <n v="28.9682"/>
    <x v="0"/>
  </r>
  <r>
    <d v="2025-12-31T00:00:00"/>
    <x v="3"/>
    <s v="Retargeting Campaign"/>
    <n v="8467.65"/>
    <n v="147"/>
    <n v="50"/>
    <n v="152261.74"/>
    <n v="34.013599999999997"/>
    <n v="16.9816"/>
    <x v="0"/>
  </r>
  <r>
    <d v="2025-02-24T00:00:00"/>
    <x v="4"/>
    <s v="Lead Generation"/>
    <n v="14171.39"/>
    <n v="26"/>
    <n v="1"/>
    <n v="5063.58"/>
    <n v="3.8462000000000001"/>
    <n v="-0.64270000000000005"/>
    <x v="1"/>
  </r>
  <r>
    <d v="2025-03-12T00:00:00"/>
    <x v="4"/>
    <s v="Retargeting Campaign"/>
    <n v="12234.5"/>
    <n v="71"/>
    <n v="23"/>
    <n v="55648.68"/>
    <n v="32.394399999999997"/>
    <n v="3.5485000000000002"/>
    <x v="0"/>
  </r>
  <r>
    <d v="2025-10-17T00:00:00"/>
    <x v="1"/>
    <s v="Festival Offer"/>
    <n v="14720.39"/>
    <n v="59"/>
    <n v="23"/>
    <n v="29371.55"/>
    <n v="38.9831"/>
    <n v="0.99529999999999996"/>
    <x v="0"/>
  </r>
  <r>
    <d v="2025-06-14T00:00:00"/>
    <x v="1"/>
    <s v="Festival Offer"/>
    <n v="3300.33"/>
    <n v="105"/>
    <n v="34"/>
    <n v="174264.11"/>
    <n v="32.381"/>
    <n v="51.802"/>
    <x v="0"/>
  </r>
  <r>
    <d v="2025-05-11T00:00:00"/>
    <x v="3"/>
    <s v="Lead Generation"/>
    <n v="4418.6899999999996"/>
    <n v="181"/>
    <n v="14"/>
    <n v="50595.69"/>
    <n v="7.7347999999999999"/>
    <n v="10.4504"/>
    <x v="0"/>
  </r>
  <r>
    <d v="2025-11-12T00:00:00"/>
    <x v="3"/>
    <s v="Brand Awareness"/>
    <n v="11541.73"/>
    <n v="51"/>
    <n v="7"/>
    <n v="37682.129999999997"/>
    <n v="13.7255"/>
    <n v="2.2648999999999999"/>
    <x v="0"/>
  </r>
  <r>
    <d v="2025-04-26T00:00:00"/>
    <x v="3"/>
    <s v="Festival Offer"/>
    <n v="9609.27"/>
    <n v="146"/>
    <n v="44"/>
    <n v="106555.29"/>
    <n v="30.137"/>
    <n v="10.088800000000001"/>
    <x v="0"/>
  </r>
  <r>
    <d v="2025-04-16T00:00:00"/>
    <x v="2"/>
    <s v="Festival Offer"/>
    <n v="6140.26"/>
    <n v="246"/>
    <n v="77"/>
    <n v="417474.84"/>
    <n v="31.300799999999999"/>
    <n v="66.989800000000002"/>
    <x v="0"/>
  </r>
  <r>
    <d v="2025-01-30T00:00:00"/>
    <x v="4"/>
    <s v="New Product Launch"/>
    <n v="4475.26"/>
    <n v="41"/>
    <n v="13"/>
    <n v="41486.83"/>
    <n v="31.7073"/>
    <n v="8.2703000000000007"/>
    <x v="0"/>
  </r>
  <r>
    <d v="2025-11-15T00:00:00"/>
    <x v="0"/>
    <s v="Retargeting Campaign"/>
    <n v="4092.57"/>
    <n v="45"/>
    <n v="10"/>
    <n v="32629.9"/>
    <n v="22.222200000000001"/>
    <n v="6.9729999999999999"/>
    <x v="0"/>
  </r>
  <r>
    <d v="2025-01-26T00:00:00"/>
    <x v="1"/>
    <s v="New Product Launch"/>
    <n v="14980.87"/>
    <n v="43"/>
    <n v="17"/>
    <n v="101553.33"/>
    <n v="39.5349"/>
    <n v="5.7789000000000001"/>
    <x v="0"/>
  </r>
  <r>
    <d v="2025-05-23T00:00:00"/>
    <x v="3"/>
    <s v="Retargeting Campaign"/>
    <n v="2106.83"/>
    <n v="129"/>
    <n v="48"/>
    <n v="64420.18"/>
    <n v="37.209299999999999"/>
    <n v="29.576799999999999"/>
    <x v="0"/>
  </r>
  <r>
    <d v="2025-10-05T00:00:00"/>
    <x v="1"/>
    <s v="Festival Offer"/>
    <n v="4759.95"/>
    <n v="249"/>
    <n v="64"/>
    <n v="318959.92"/>
    <n v="25.7028"/>
    <n v="66.009100000000004"/>
    <x v="0"/>
  </r>
  <r>
    <d v="2025-04-08T00:00:00"/>
    <x v="4"/>
    <s v="Festival Offer"/>
    <n v="5731.59"/>
    <n v="235"/>
    <n v="35"/>
    <n v="103014.54"/>
    <n v="14.893599999999999"/>
    <n v="16.973099999999999"/>
    <x v="0"/>
  </r>
  <r>
    <d v="2025-12-09T00:00:00"/>
    <x v="0"/>
    <s v="Retargeting Campaign"/>
    <n v="2989.28"/>
    <n v="137"/>
    <n v="54"/>
    <n v="126960.71"/>
    <n v="39.4161"/>
    <n v="41.472000000000001"/>
    <x v="0"/>
  </r>
  <r>
    <d v="2025-05-04T00:00:00"/>
    <x v="2"/>
    <s v="New Product Launch"/>
    <n v="12467.05"/>
    <n v="115"/>
    <n v="18"/>
    <n v="32365.78"/>
    <n v="15.652200000000001"/>
    <n v="1.5961000000000001"/>
    <x v="0"/>
  </r>
  <r>
    <d v="2025-05-16T00:00:00"/>
    <x v="0"/>
    <s v="Lead Generation"/>
    <n v="12785.27"/>
    <n v="167"/>
    <n v="56"/>
    <n v="281940.27"/>
    <n v="33.532899999999998"/>
    <n v="21.052"/>
    <x v="0"/>
  </r>
  <r>
    <d v="2025-02-05T00:00:00"/>
    <x v="1"/>
    <s v="New Product Launch"/>
    <n v="3805.91"/>
    <n v="154"/>
    <n v="44"/>
    <n v="238564.53"/>
    <n v="28.571400000000001"/>
    <n v="61.682699999999997"/>
    <x v="0"/>
  </r>
  <r>
    <d v="2025-02-07T00:00:00"/>
    <x v="3"/>
    <s v="Lead Generation"/>
    <n v="2392.7600000000002"/>
    <n v="239"/>
    <n v="54"/>
    <n v="270529.69"/>
    <n v="22.594100000000001"/>
    <n v="112.06180000000001"/>
    <x v="0"/>
  </r>
  <r>
    <d v="2025-10-31T00:00:00"/>
    <x v="0"/>
    <s v="New Product Launch"/>
    <n v="3806.87"/>
    <n v="30"/>
    <n v="10"/>
    <n v="39798.36"/>
    <n v="33.333300000000001"/>
    <n v="9.4543999999999997"/>
    <x v="0"/>
  </r>
  <r>
    <d v="2025-08-02T00:00:00"/>
    <x v="1"/>
    <s v="New Product Launch"/>
    <n v="13872.37"/>
    <n v="205"/>
    <n v="41"/>
    <n v="103869.01"/>
    <n v="20"/>
    <n v="6.4874999999999998"/>
    <x v="0"/>
  </r>
  <r>
    <d v="2025-12-22T00:00:00"/>
    <x v="2"/>
    <s v="Retargeting Campaign"/>
    <n v="8529.1"/>
    <n v="182"/>
    <n v="35"/>
    <n v="77627.03"/>
    <n v="19.230799999999999"/>
    <n v="8.1013999999999999"/>
    <x v="0"/>
  </r>
  <r>
    <d v="2025-02-26T00:00:00"/>
    <x v="1"/>
    <s v="Festival Offer"/>
    <n v="14607.7"/>
    <n v="62"/>
    <n v="20"/>
    <n v="78105.91"/>
    <n v="32.258099999999999"/>
    <n v="4.3468999999999998"/>
    <x v="0"/>
  </r>
  <r>
    <d v="2025-04-13T00:00:00"/>
    <x v="2"/>
    <s v="Brand Awareness"/>
    <n v="4612.34"/>
    <n v="54"/>
    <n v="4"/>
    <n v="17475.89"/>
    <n v="7.4074"/>
    <n v="2.7888999999999999"/>
    <x v="0"/>
  </r>
  <r>
    <d v="2025-05-11T00:00:00"/>
    <x v="3"/>
    <s v="New Product Launch"/>
    <n v="14346.22"/>
    <n v="111"/>
    <n v="25"/>
    <n v="62945.32"/>
    <n v="22.522500000000001"/>
    <n v="3.3875999999999999"/>
    <x v="0"/>
  </r>
  <r>
    <d v="2025-05-20T00:00:00"/>
    <x v="1"/>
    <s v="Festival Offer"/>
    <n v="4208.9799999999996"/>
    <n v="102"/>
    <n v="12"/>
    <n v="32657.65"/>
    <n v="11.764699999999999"/>
    <n v="6.7590000000000003"/>
    <x v="0"/>
  </r>
  <r>
    <d v="2025-07-16T00:00:00"/>
    <x v="0"/>
    <s v="Lead Generation"/>
    <n v="1007.24"/>
    <n v="243"/>
    <n v="24"/>
    <n v="100600.94"/>
    <n v="9.8765000000000001"/>
    <n v="98.877799999999993"/>
    <x v="0"/>
  </r>
  <r>
    <d v="2025-11-03T00:00:00"/>
    <x v="3"/>
    <s v="Lead Generation"/>
    <n v="5718.41"/>
    <n v="203"/>
    <n v="66"/>
    <n v="268033.08"/>
    <n v="32.512300000000003"/>
    <n v="45.872"/>
    <x v="0"/>
  </r>
  <r>
    <d v="2025-11-01T00:00:00"/>
    <x v="4"/>
    <s v="Lead Generation"/>
    <n v="2818.19"/>
    <n v="216"/>
    <n v="78"/>
    <n v="246087.12"/>
    <n v="36.1111"/>
    <n v="86.320999999999998"/>
    <x v="0"/>
  </r>
  <r>
    <d v="2025-03-22T00:00:00"/>
    <x v="2"/>
    <s v="New Product Launch"/>
    <n v="1076.6099999999999"/>
    <n v="86"/>
    <n v="23"/>
    <n v="36865.300000000003"/>
    <n v="26.744199999999999"/>
    <n v="33.241999999999997"/>
    <x v="0"/>
  </r>
  <r>
    <d v="2025-06-07T00:00:00"/>
    <x v="1"/>
    <s v="Brand Awareness"/>
    <n v="11471.54"/>
    <n v="166"/>
    <n v="49"/>
    <n v="69919.179999999993"/>
    <n v="29.5181"/>
    <n v="5.0949999999999998"/>
    <x v="0"/>
  </r>
  <r>
    <d v="2025-08-10T00:00:00"/>
    <x v="3"/>
    <s v="Brand Awareness"/>
    <n v="12493.21"/>
    <n v="28"/>
    <n v="9"/>
    <n v="40563.980000000003"/>
    <n v="32.142899999999997"/>
    <n v="2.2469000000000001"/>
    <x v="0"/>
  </r>
  <r>
    <d v="2025-05-09T00:00:00"/>
    <x v="1"/>
    <s v="Festival Offer"/>
    <n v="3400.45"/>
    <n v="225"/>
    <n v="76"/>
    <n v="181952.33"/>
    <n v="33.777799999999999"/>
    <n v="52.508299999999998"/>
    <x v="0"/>
  </r>
  <r>
    <d v="2025-06-27T00:00:00"/>
    <x v="2"/>
    <s v="Brand Awareness"/>
    <n v="14615.53"/>
    <n v="97"/>
    <n v="9"/>
    <n v="27059.89"/>
    <n v="9.2783999999999995"/>
    <n v="0.85140000000000005"/>
    <x v="0"/>
  </r>
  <r>
    <d v="2025-07-01T00:00:00"/>
    <x v="1"/>
    <s v="Festival Offer"/>
    <n v="3369.3"/>
    <n v="140"/>
    <n v="56"/>
    <n v="183716.72"/>
    <n v="40"/>
    <n v="53.526699999999998"/>
    <x v="0"/>
  </r>
  <r>
    <d v="2025-10-23T00:00:00"/>
    <x v="4"/>
    <s v="New Product Launch"/>
    <n v="3255.93"/>
    <n v="213"/>
    <n v="40"/>
    <n v="66271.740000000005"/>
    <n v="18.779299999999999"/>
    <n v="19.354199999999999"/>
    <x v="0"/>
  </r>
  <r>
    <d v="2025-01-28T00:00:00"/>
    <x v="3"/>
    <s v="Brand Awareness"/>
    <n v="4398.43"/>
    <n v="199"/>
    <n v="26"/>
    <n v="71387.06"/>
    <n v="13.065300000000001"/>
    <n v="15.2301"/>
    <x v="0"/>
  </r>
  <r>
    <d v="2025-03-28T00:00:00"/>
    <x v="3"/>
    <s v="Retargeting Campaign"/>
    <n v="5368.26"/>
    <n v="139"/>
    <n v="46"/>
    <n v="249991.97"/>
    <n v="33.093499999999999"/>
    <n v="45.5685"/>
    <x v="0"/>
  </r>
  <r>
    <d v="2025-04-25T00:00:00"/>
    <x v="3"/>
    <s v="Lead Generation"/>
    <n v="3913.35"/>
    <n v="237"/>
    <n v="57"/>
    <n v="337759.52"/>
    <n v="24.050599999999999"/>
    <n v="85.309600000000003"/>
    <x v="0"/>
  </r>
  <r>
    <d v="2025-09-10T00:00:00"/>
    <x v="2"/>
    <s v="New Product Launch"/>
    <n v="6019.43"/>
    <n v="81"/>
    <n v="2"/>
    <n v="3827.8"/>
    <n v="2.4691000000000001"/>
    <n v="-0.36409999999999998"/>
    <x v="1"/>
  </r>
  <r>
    <d v="2025-01-29T00:00:00"/>
    <x v="4"/>
    <s v="Lead Generation"/>
    <n v="5706.63"/>
    <n v="38"/>
    <n v="9"/>
    <n v="48553.26"/>
    <n v="23.684200000000001"/>
    <n v="7.5082000000000004"/>
    <x v="0"/>
  </r>
  <r>
    <d v="2025-09-05T00:00:00"/>
    <x v="4"/>
    <s v="Festival Offer"/>
    <n v="5275.54"/>
    <n v="177"/>
    <n v="33"/>
    <n v="159486.85"/>
    <n v="18.644100000000002"/>
    <n v="29.231400000000001"/>
    <x v="0"/>
  </r>
  <r>
    <d v="2025-08-02T00:00:00"/>
    <x v="3"/>
    <s v="Lead Generation"/>
    <n v="5143.6899999999996"/>
    <n v="179"/>
    <n v="62"/>
    <n v="123320.57"/>
    <n v="34.636899999999997"/>
    <n v="22.975100000000001"/>
    <x v="0"/>
  </r>
  <r>
    <d v="2025-04-21T00:00:00"/>
    <x v="3"/>
    <s v="Festival Offer"/>
    <n v="6411.47"/>
    <n v="172"/>
    <n v="55"/>
    <n v="109688.14"/>
    <n v="31.976700000000001"/>
    <n v="16.1081"/>
    <x v="0"/>
  </r>
  <r>
    <d v="2025-10-11T00:00:00"/>
    <x v="4"/>
    <s v="Retargeting Campaign"/>
    <n v="2998.22"/>
    <n v="202"/>
    <n v="56"/>
    <n v="228271.99"/>
    <n v="27.722799999999999"/>
    <n v="75.135800000000003"/>
    <x v="0"/>
  </r>
  <r>
    <d v="2025-07-28T00:00:00"/>
    <x v="4"/>
    <s v="Festival Offer"/>
    <n v="4335.8500000000004"/>
    <n v="135"/>
    <n v="7"/>
    <n v="39062.910000000003"/>
    <n v="5.1852"/>
    <n v="8.0092999999999996"/>
    <x v="0"/>
  </r>
  <r>
    <d v="2025-11-20T00:00:00"/>
    <x v="3"/>
    <s v="New Product Launch"/>
    <n v="3508.88"/>
    <n v="205"/>
    <n v="13"/>
    <n v="31299.54"/>
    <n v="6.3414999999999999"/>
    <n v="7.9200999999999997"/>
    <x v="0"/>
  </r>
  <r>
    <d v="2025-08-21T00:00:00"/>
    <x v="0"/>
    <s v="New Product Launch"/>
    <n v="10868.79"/>
    <n v="91"/>
    <n v="6"/>
    <n v="18288.89"/>
    <n v="6.5933999999999999"/>
    <n v="0.68269999999999997"/>
    <x v="0"/>
  </r>
  <r>
    <d v="2025-05-17T00:00:00"/>
    <x v="4"/>
    <s v="Brand Awareness"/>
    <n v="5983.73"/>
    <n v="78"/>
    <n v="3"/>
    <n v="11450.45"/>
    <n v="3.8462000000000001"/>
    <n v="0.91359999999999997"/>
    <x v="0"/>
  </r>
  <r>
    <d v="2025-07-21T00:00:00"/>
    <x v="4"/>
    <s v="Retargeting Campaign"/>
    <n v="10304.700000000001"/>
    <n v="195"/>
    <n v="14"/>
    <n v="73559.47"/>
    <n v="7.1795"/>
    <n v="6.1383999999999999"/>
    <x v="0"/>
  </r>
  <r>
    <d v="2025-03-31T00:00:00"/>
    <x v="2"/>
    <s v="New Product Launch"/>
    <n v="13631.21"/>
    <n v="197"/>
    <n v="44"/>
    <n v="180795.74"/>
    <n v="22.335000000000001"/>
    <n v="12.263400000000001"/>
    <x v="0"/>
  </r>
  <r>
    <d v="2025-05-16T00:00:00"/>
    <x v="2"/>
    <s v="Retargeting Campaign"/>
    <n v="5446.54"/>
    <n v="103"/>
    <n v="21"/>
    <n v="71851.929999999993"/>
    <n v="20.388300000000001"/>
    <n v="12.1922"/>
    <x v="0"/>
  </r>
  <r>
    <d v="2025-07-30T00:00:00"/>
    <x v="4"/>
    <s v="Brand Awareness"/>
    <n v="1295.8900000000001"/>
    <n v="98"/>
    <n v="2"/>
    <n v="7256.5"/>
    <n v="2.0407999999999999"/>
    <n v="4.5995999999999997"/>
    <x v="0"/>
  </r>
  <r>
    <d v="2025-02-14T00:00:00"/>
    <x v="0"/>
    <s v="New Product Launch"/>
    <n v="4258.5200000000004"/>
    <n v="230"/>
    <n v="45"/>
    <n v="118253.78"/>
    <n v="19.565200000000001"/>
    <n v="26.768799999999999"/>
    <x v="0"/>
  </r>
  <r>
    <d v="2025-02-12T00:00:00"/>
    <x v="1"/>
    <s v="Retargeting Campaign"/>
    <n v="3507.18"/>
    <n v="37"/>
    <n v="6"/>
    <n v="30173.59"/>
    <n v="16.216200000000001"/>
    <n v="7.6033999999999997"/>
    <x v="0"/>
  </r>
  <r>
    <d v="2025-07-21T00:00:00"/>
    <x v="1"/>
    <s v="Retargeting Campaign"/>
    <n v="4395.74"/>
    <n v="167"/>
    <n v="63"/>
    <n v="141850"/>
    <n v="37.724600000000002"/>
    <n v="31.2699"/>
    <x v="0"/>
  </r>
  <r>
    <d v="2025-08-25T00:00:00"/>
    <x v="0"/>
    <s v="Festival Offer"/>
    <n v="3563.99"/>
    <n v="224"/>
    <n v="2"/>
    <n v="2838.97"/>
    <n v="0.89290000000000003"/>
    <n v="-0.2034"/>
    <x v="1"/>
  </r>
  <r>
    <d v="2025-10-29T00:00:00"/>
    <x v="3"/>
    <s v="Brand Awareness"/>
    <n v="9185.69"/>
    <n v="48"/>
    <n v="17"/>
    <n v="38358.03"/>
    <n v="35.416699999999999"/>
    <n v="3.1758000000000002"/>
    <x v="0"/>
  </r>
  <r>
    <d v="2025-07-09T00:00:00"/>
    <x v="1"/>
    <s v="New Product Launch"/>
    <n v="8453.6"/>
    <n v="193"/>
    <n v="47"/>
    <n v="262579.65999999997"/>
    <n v="24.3523"/>
    <n v="30.061299999999999"/>
    <x v="0"/>
  </r>
  <r>
    <d v="2025-01-16T00:00:00"/>
    <x v="3"/>
    <s v="Brand Awareness"/>
    <n v="7155.94"/>
    <n v="165"/>
    <n v="13"/>
    <n v="62947.15"/>
    <n v="7.8788"/>
    <n v="7.7965"/>
    <x v="0"/>
  </r>
  <r>
    <d v="2025-06-09T00:00:00"/>
    <x v="1"/>
    <s v="Brand Awareness"/>
    <n v="5071.43"/>
    <n v="208"/>
    <n v="47"/>
    <n v="62482.12"/>
    <n v="22.5962"/>
    <n v="11.320399999999999"/>
    <x v="0"/>
  </r>
  <r>
    <d v="2025-06-07T00:00:00"/>
    <x v="0"/>
    <s v="Brand Awareness"/>
    <n v="10736.56"/>
    <n v="110"/>
    <n v="29"/>
    <n v="121656.54"/>
    <n v="26.363600000000002"/>
    <n v="10.331099999999999"/>
    <x v="0"/>
  </r>
  <r>
    <d v="2025-04-09T00:00:00"/>
    <x v="1"/>
    <s v="Lead Generation"/>
    <n v="13585.06"/>
    <n v="27"/>
    <n v="3"/>
    <n v="16621.63"/>
    <n v="11.1111"/>
    <n v="0.2235"/>
    <x v="0"/>
  </r>
  <r>
    <d v="2025-05-09T00:00:00"/>
    <x v="1"/>
    <s v="Lead Generation"/>
    <n v="3987.44"/>
    <n v="183"/>
    <n v="68"/>
    <n v="166924.82999999999"/>
    <n v="37.158499999999997"/>
    <n v="40.862699999999997"/>
    <x v="0"/>
  </r>
  <r>
    <d v="2025-01-04T00:00:00"/>
    <x v="4"/>
    <s v="Festival Offer"/>
    <n v="10304.99"/>
    <n v="207"/>
    <n v="64"/>
    <n v="325971.20000000001"/>
    <n v="30.917899999999999"/>
    <n v="30.632400000000001"/>
    <x v="0"/>
  </r>
  <r>
    <d v="2025-10-05T00:00:00"/>
    <x v="3"/>
    <s v="Lead Generation"/>
    <n v="4444.6099999999997"/>
    <n v="207"/>
    <n v="10"/>
    <n v="21031.83"/>
    <n v="4.8308999999999997"/>
    <n v="3.7320000000000002"/>
    <x v="0"/>
  </r>
  <r>
    <d v="2025-09-09T00:00:00"/>
    <x v="3"/>
    <s v="Retargeting Campaign"/>
    <n v="13502.46"/>
    <n v="166"/>
    <n v="44"/>
    <n v="211343.07"/>
    <n v="26.506"/>
    <n v="14.652200000000001"/>
    <x v="0"/>
  </r>
  <r>
    <d v="2025-01-17T00:00:00"/>
    <x v="1"/>
    <s v="Brand Awareness"/>
    <n v="4819.93"/>
    <n v="176"/>
    <n v="63"/>
    <n v="151241.46"/>
    <n v="35.795499999999997"/>
    <n v="30.378399999999999"/>
    <x v="0"/>
  </r>
  <r>
    <d v="2025-09-25T00:00:00"/>
    <x v="0"/>
    <s v="Lead Generation"/>
    <n v="13977.3"/>
    <n v="210"/>
    <n v="39"/>
    <n v="221519.09"/>
    <n v="18.571400000000001"/>
    <n v="14.8485"/>
    <x v="0"/>
  </r>
  <r>
    <d v="2025-06-24T00:00:00"/>
    <x v="0"/>
    <s v="Lead Generation"/>
    <n v="14829.42"/>
    <n v="247"/>
    <n v="22"/>
    <n v="54073.37"/>
    <n v="8.9069000000000003"/>
    <n v="2.6463999999999999"/>
    <x v="0"/>
  </r>
  <r>
    <d v="2025-09-22T00:00:00"/>
    <x v="0"/>
    <s v="Retargeting Campaign"/>
    <n v="2051.11"/>
    <n v="168"/>
    <n v="31"/>
    <n v="148597.17000000001"/>
    <n v="18.452400000000001"/>
    <n v="71.447199999999995"/>
    <x v="0"/>
  </r>
  <r>
    <d v="2025-08-15T00:00:00"/>
    <x v="1"/>
    <s v="Lead Generation"/>
    <n v="10753.86"/>
    <n v="56"/>
    <n v="3"/>
    <n v="11761.88"/>
    <n v="5.3571"/>
    <n v="9.3700000000000006E-2"/>
    <x v="0"/>
  </r>
  <r>
    <d v="2025-06-26T00:00:00"/>
    <x v="1"/>
    <s v="Festival Offer"/>
    <n v="4901.9799999999996"/>
    <n v="231"/>
    <n v="39"/>
    <n v="47882.61"/>
    <n v="16.883099999999999"/>
    <n v="8.7680000000000007"/>
    <x v="0"/>
  </r>
  <r>
    <d v="2025-11-08T00:00:00"/>
    <x v="1"/>
    <s v="Brand Awareness"/>
    <n v="7228.89"/>
    <n v="48"/>
    <n v="14"/>
    <n v="81806.22"/>
    <n v="29.166699999999999"/>
    <n v="10.316599999999999"/>
    <x v="0"/>
  </r>
  <r>
    <d v="2025-03-26T00:00:00"/>
    <x v="1"/>
    <s v="New Product Launch"/>
    <n v="14893.31"/>
    <n v="69"/>
    <n v="27"/>
    <n v="67017.919999999998"/>
    <n v="39.130400000000002"/>
    <n v="3.4998999999999998"/>
    <x v="0"/>
  </r>
  <r>
    <d v="2025-12-13T00:00:00"/>
    <x v="4"/>
    <s v="Festival Offer"/>
    <n v="4960.3500000000004"/>
    <n v="122"/>
    <n v="48"/>
    <n v="190754.84"/>
    <n v="39.344299999999997"/>
    <n v="37.4559"/>
    <x v="0"/>
  </r>
  <r>
    <d v="2025-05-25T00:00:00"/>
    <x v="4"/>
    <s v="Lead Generation"/>
    <n v="8419.39"/>
    <n v="160"/>
    <n v="9"/>
    <n v="47963.65"/>
    <n v="5.625"/>
    <n v="4.6967999999999996"/>
    <x v="0"/>
  </r>
  <r>
    <d v="2025-11-09T00:00:00"/>
    <x v="3"/>
    <s v="Retargeting Campaign"/>
    <n v="10194.69"/>
    <n v="131"/>
    <n v="45"/>
    <n v="150165"/>
    <n v="34.351100000000002"/>
    <n v="13.729699999999999"/>
    <x v="0"/>
  </r>
  <r>
    <d v="2025-12-17T00:00:00"/>
    <x v="4"/>
    <s v="Brand Awareness"/>
    <n v="6420.93"/>
    <n v="176"/>
    <n v="58"/>
    <n v="58564.51"/>
    <n v="32.954500000000003"/>
    <n v="8.1209000000000007"/>
    <x v="0"/>
  </r>
  <r>
    <d v="2025-04-15T00:00:00"/>
    <x v="4"/>
    <s v="New Product Launch"/>
    <n v="9130.8700000000008"/>
    <n v="114"/>
    <n v="8"/>
    <n v="32104.06"/>
    <n v="7.0175000000000001"/>
    <n v="2.516"/>
    <x v="0"/>
  </r>
  <r>
    <d v="2025-02-14T00:00:00"/>
    <x v="3"/>
    <s v="Lead Generation"/>
    <n v="10289"/>
    <n v="111"/>
    <n v="40"/>
    <n v="212776.22"/>
    <n v="36.036000000000001"/>
    <n v="19.68"/>
    <x v="0"/>
  </r>
  <r>
    <d v="2025-06-30T00:00:00"/>
    <x v="3"/>
    <s v="Festival Offer"/>
    <n v="13802.67"/>
    <n v="215"/>
    <n v="38"/>
    <n v="114706.14"/>
    <n v="17.674399999999999"/>
    <n v="7.3103999999999996"/>
    <x v="0"/>
  </r>
  <r>
    <d v="2025-04-27T00:00:00"/>
    <x v="4"/>
    <s v="New Product Launch"/>
    <n v="4932.54"/>
    <n v="190"/>
    <n v="46"/>
    <n v="148087.6"/>
    <n v="24.2105"/>
    <n v="29.022600000000001"/>
    <x v="0"/>
  </r>
  <r>
    <d v="2025-07-30T00:00:00"/>
    <x v="0"/>
    <s v="Festival Offer"/>
    <n v="8976.76"/>
    <n v="191"/>
    <n v="66"/>
    <n v="165831.65"/>
    <n v="34.555"/>
    <n v="17.473400000000002"/>
    <x v="0"/>
  </r>
  <r>
    <d v="2025-09-14T00:00:00"/>
    <x v="0"/>
    <s v="Brand Awareness"/>
    <n v="2810.05"/>
    <n v="73"/>
    <n v="5"/>
    <n v="12773.4"/>
    <n v="6.8493000000000004"/>
    <n v="3.5455999999999999"/>
    <x v="0"/>
  </r>
  <r>
    <d v="2025-07-17T00:00:00"/>
    <x v="1"/>
    <s v="Brand Awareness"/>
    <n v="6029.59"/>
    <n v="165"/>
    <n v="1"/>
    <n v="2685.68"/>
    <n v="0.60609999999999997"/>
    <n v="-0.55459999999999998"/>
    <x v="1"/>
  </r>
  <r>
    <d v="2025-10-08T00:00:00"/>
    <x v="0"/>
    <s v="Lead Generation"/>
    <n v="2963.81"/>
    <n v="245"/>
    <n v="92"/>
    <n v="442336.97"/>
    <n v="37.551000000000002"/>
    <n v="148.24610000000001"/>
    <x v="0"/>
  </r>
  <r>
    <d v="2025-02-05T00:00:00"/>
    <x v="0"/>
    <s v="Lead Generation"/>
    <n v="7919.1"/>
    <n v="69"/>
    <n v="27"/>
    <n v="131886.62"/>
    <n v="39.130400000000002"/>
    <n v="15.654199999999999"/>
    <x v="0"/>
  </r>
  <r>
    <d v="2025-04-18T00:00:00"/>
    <x v="1"/>
    <s v="Lead Generation"/>
    <n v="8273.91"/>
    <n v="36"/>
    <n v="14"/>
    <n v="65814.48"/>
    <n v="38.8889"/>
    <n v="6.9545000000000003"/>
    <x v="0"/>
  </r>
  <r>
    <d v="2025-03-13T00:00:00"/>
    <x v="1"/>
    <s v="Retargeting Campaign"/>
    <n v="4912.0200000000004"/>
    <n v="25"/>
    <n v="4"/>
    <n v="21268.75"/>
    <n v="16"/>
    <n v="3.3298999999999999"/>
    <x v="0"/>
  </r>
  <r>
    <d v="2025-11-09T00:00:00"/>
    <x v="1"/>
    <s v="Brand Awareness"/>
    <n v="5448.53"/>
    <n v="146"/>
    <n v="36"/>
    <n v="85060.81"/>
    <n v="24.657499999999999"/>
    <n v="14.611700000000001"/>
    <x v="0"/>
  </r>
  <r>
    <d v="2025-06-17T00:00:00"/>
    <x v="4"/>
    <s v="Lead Generation"/>
    <n v="11118.95"/>
    <n v="174"/>
    <n v="33"/>
    <n v="108283.1"/>
    <n v="18.965499999999999"/>
    <n v="8.7385999999999999"/>
    <x v="0"/>
  </r>
  <r>
    <d v="2025-08-26T00:00:00"/>
    <x v="3"/>
    <s v="Retargeting Campaign"/>
    <n v="11838.56"/>
    <n v="126"/>
    <n v="2"/>
    <n v="3993.41"/>
    <n v="1.5872999999999999"/>
    <n v="-0.66269999999999996"/>
    <x v="1"/>
  </r>
  <r>
    <d v="2025-07-24T00:00:00"/>
    <x v="3"/>
    <s v="Retargeting Campaign"/>
    <n v="2418.38"/>
    <n v="133"/>
    <n v="3"/>
    <n v="12748.65"/>
    <n v="2.2555999999999998"/>
    <n v="4.2716000000000003"/>
    <x v="0"/>
  </r>
  <r>
    <d v="2025-08-14T00:00:00"/>
    <x v="4"/>
    <s v="New Product Launch"/>
    <n v="6537.48"/>
    <n v="186"/>
    <n v="33"/>
    <n v="170586.09"/>
    <n v="17.741900000000001"/>
    <n v="25.093599999999999"/>
    <x v="0"/>
  </r>
  <r>
    <d v="2025-02-20T00:00:00"/>
    <x v="3"/>
    <s v="Festival Offer"/>
    <n v="5633.45"/>
    <n v="176"/>
    <n v="29"/>
    <n v="107475.26"/>
    <n v="16.4773"/>
    <n v="18.078099999999999"/>
    <x v="0"/>
  </r>
  <r>
    <d v="2025-10-06T00:00:00"/>
    <x v="3"/>
    <s v="New Product Launch"/>
    <n v="1906.44"/>
    <n v="155"/>
    <n v="62"/>
    <n v="69266.98"/>
    <n v="40"/>
    <n v="35.333199999999998"/>
    <x v="0"/>
  </r>
  <r>
    <d v="2025-09-06T00:00:00"/>
    <x v="1"/>
    <s v="New Product Launch"/>
    <n v="7229.71"/>
    <n v="42"/>
    <n v="16"/>
    <n v="17435.169999999998"/>
    <n v="38.095199999999998"/>
    <n v="1.4116"/>
    <x v="0"/>
  </r>
  <r>
    <d v="2025-11-01T00:00:00"/>
    <x v="2"/>
    <s v="New Product Launch"/>
    <n v="10857.12"/>
    <n v="104"/>
    <n v="29"/>
    <n v="148130.95000000001"/>
    <n v="27.884599999999999"/>
    <n v="12.643700000000001"/>
    <x v="0"/>
  </r>
  <r>
    <d v="2025-04-16T00:00:00"/>
    <x v="4"/>
    <s v="Festival Offer"/>
    <n v="10278.450000000001"/>
    <n v="45"/>
    <n v="7"/>
    <n v="12581.99"/>
    <n v="15.5556"/>
    <n v="0.22409999999999999"/>
    <x v="0"/>
  </r>
  <r>
    <d v="2025-09-13T00:00:00"/>
    <x v="0"/>
    <s v="Retargeting Campaign"/>
    <n v="7527.48"/>
    <n v="76"/>
    <n v="24"/>
    <n v="130466.41"/>
    <n v="31.578900000000001"/>
    <n v="16.332000000000001"/>
    <x v="0"/>
  </r>
  <r>
    <d v="2025-12-08T00:00:00"/>
    <x v="4"/>
    <s v="New Product Launch"/>
    <n v="6834.08"/>
    <n v="227"/>
    <n v="18"/>
    <n v="95744.67"/>
    <n v="7.9295"/>
    <n v="13.0099"/>
    <x v="0"/>
  </r>
  <r>
    <d v="2025-01-28T00:00:00"/>
    <x v="3"/>
    <s v="Retargeting Campaign"/>
    <n v="7888.22"/>
    <n v="235"/>
    <n v="74"/>
    <n v="361964.53"/>
    <n v="31.4894"/>
    <n v="44.886699999999998"/>
    <x v="0"/>
  </r>
  <r>
    <d v="2025-08-13T00:00:00"/>
    <x v="1"/>
    <s v="Brand Awareness"/>
    <n v="8840.42"/>
    <n v="102"/>
    <n v="10"/>
    <n v="58501.86"/>
    <n v="9.8039000000000005"/>
    <n v="5.6174999999999997"/>
    <x v="0"/>
  </r>
  <r>
    <d v="2025-08-01T00:00:00"/>
    <x v="0"/>
    <s v="Lead Generation"/>
    <n v="2619.08"/>
    <n v="94"/>
    <n v="26"/>
    <n v="140048.79999999999"/>
    <n v="27.659600000000001"/>
    <n v="52.472499999999997"/>
    <x v="0"/>
  </r>
  <r>
    <d v="2025-08-14T00:00:00"/>
    <x v="4"/>
    <s v="New Product Launch"/>
    <n v="10934.19"/>
    <n v="95"/>
    <n v="33"/>
    <n v="47455.48"/>
    <n v="34.736800000000002"/>
    <n v="3.3401000000000001"/>
    <x v="0"/>
  </r>
  <r>
    <d v="2025-11-02T00:00:00"/>
    <x v="2"/>
    <s v="Brand Awareness"/>
    <n v="9055.31"/>
    <n v="191"/>
    <n v="66"/>
    <n v="365965.99"/>
    <n v="34.555"/>
    <n v="39.414499999999997"/>
    <x v="0"/>
  </r>
  <r>
    <d v="2025-01-16T00:00:00"/>
    <x v="4"/>
    <s v="Brand Awareness"/>
    <n v="6763.9"/>
    <n v="25"/>
    <n v="7"/>
    <n v="23618.67"/>
    <n v="28"/>
    <n v="2.4918999999999998"/>
    <x v="0"/>
  </r>
  <r>
    <d v="2025-10-16T00:00:00"/>
    <x v="3"/>
    <s v="Festival Offer"/>
    <n v="5077.18"/>
    <n v="49"/>
    <n v="12"/>
    <n v="70553.919999999998"/>
    <n v="24.489799999999999"/>
    <n v="12.8963"/>
    <x v="0"/>
  </r>
  <r>
    <d v="2025-01-07T00:00:00"/>
    <x v="0"/>
    <s v="Retargeting Campaign"/>
    <n v="5031.6400000000003"/>
    <n v="140"/>
    <n v="42"/>
    <n v="225669.7"/>
    <n v="30"/>
    <n v="43.850099999999998"/>
    <x v="0"/>
  </r>
  <r>
    <d v="2025-08-03T00:00:00"/>
    <x v="0"/>
    <s v="Brand Awareness"/>
    <n v="2569.9499999999998"/>
    <n v="39"/>
    <n v="15"/>
    <n v="86810.54"/>
    <n v="38.461500000000001"/>
    <n v="32.7791"/>
    <x v="0"/>
  </r>
  <r>
    <d v="2025-06-22T00:00:00"/>
    <x v="0"/>
    <s v="Festival Offer"/>
    <n v="11582.88"/>
    <n v="186"/>
    <n v="48"/>
    <n v="65137.09"/>
    <n v="25.8065"/>
    <n v="4.6235999999999997"/>
    <x v="0"/>
  </r>
  <r>
    <d v="2025-08-15T00:00:00"/>
    <x v="0"/>
    <s v="Festival Offer"/>
    <n v="1756.7"/>
    <n v="68"/>
    <n v="9"/>
    <n v="43344.68"/>
    <n v="13.235300000000001"/>
    <n v="23.6739"/>
    <x v="0"/>
  </r>
  <r>
    <d v="2025-08-03T00:00:00"/>
    <x v="0"/>
    <s v="Festival Offer"/>
    <n v="13577.58"/>
    <n v="230"/>
    <n v="18"/>
    <n v="65859.56"/>
    <n v="7.8261000000000003"/>
    <n v="3.8506"/>
    <x v="0"/>
  </r>
  <r>
    <d v="2025-01-17T00:00:00"/>
    <x v="1"/>
    <s v="New Product Launch"/>
    <n v="1005.56"/>
    <n v="207"/>
    <n v="40"/>
    <n v="184052.62"/>
    <n v="19.323699999999999"/>
    <n v="182.03489999999999"/>
    <x v="0"/>
  </r>
  <r>
    <d v="2025-10-31T00:00:00"/>
    <x v="3"/>
    <s v="Retargeting Campaign"/>
    <n v="5536.36"/>
    <n v="122"/>
    <n v="38"/>
    <n v="130229.67"/>
    <n v="31.147500000000001"/>
    <n v="22.522600000000001"/>
    <x v="0"/>
  </r>
  <r>
    <d v="2025-02-15T00:00:00"/>
    <x v="4"/>
    <s v="New Product Launch"/>
    <n v="4576.4399999999996"/>
    <n v="175"/>
    <n v="53"/>
    <n v="140480.04999999999"/>
    <n v="30.285699999999999"/>
    <n v="29.696400000000001"/>
    <x v="0"/>
  </r>
  <r>
    <d v="2025-02-28T00:00:00"/>
    <x v="0"/>
    <s v="Retargeting Campaign"/>
    <n v="9983.58"/>
    <n v="75"/>
    <n v="23"/>
    <n v="60612.43"/>
    <n v="30.666699999999999"/>
    <n v="5.0712000000000002"/>
    <x v="0"/>
  </r>
  <r>
    <d v="2025-07-25T00:00:00"/>
    <x v="4"/>
    <s v="Retargeting Campaign"/>
    <n v="8144.61"/>
    <n v="116"/>
    <n v="46"/>
    <n v="258891.97"/>
    <n v="39.655200000000001"/>
    <n v="30.786899999999999"/>
    <x v="0"/>
  </r>
  <r>
    <d v="2025-07-05T00:00:00"/>
    <x v="3"/>
    <s v="Retargeting Campaign"/>
    <n v="12437.82"/>
    <n v="241"/>
    <n v="6"/>
    <n v="10992.91"/>
    <n v="2.4895999999999998"/>
    <n v="-0.1162"/>
    <x v="1"/>
  </r>
  <r>
    <d v="2025-09-16T00:00:00"/>
    <x v="3"/>
    <s v="Lead Generation"/>
    <n v="13408.12"/>
    <n v="179"/>
    <n v="27"/>
    <n v="77940.679999999993"/>
    <n v="15.0838"/>
    <n v="4.8129"/>
    <x v="0"/>
  </r>
  <r>
    <d v="2025-04-13T00:00:00"/>
    <x v="0"/>
    <s v="Retargeting Campaign"/>
    <n v="11130.29"/>
    <n v="34"/>
    <n v="6"/>
    <n v="27092.98"/>
    <n v="17.647099999999998"/>
    <n v="1.4341999999999999"/>
    <x v="0"/>
  </r>
  <r>
    <d v="2025-04-22T00:00:00"/>
    <x v="4"/>
    <s v="Festival Offer"/>
    <n v="8975.91"/>
    <n v="243"/>
    <n v="67"/>
    <n v="321630.92"/>
    <n v="27.571999999999999"/>
    <n v="34.832700000000003"/>
    <x v="0"/>
  </r>
  <r>
    <d v="2025-08-06T00:00:00"/>
    <x v="0"/>
    <s v="Retargeting Campaign"/>
    <n v="14549.92"/>
    <n v="80"/>
    <n v="2"/>
    <n v="11783.49"/>
    <n v="2.5"/>
    <n v="-0.19009999999999999"/>
    <x v="1"/>
  </r>
  <r>
    <d v="2025-11-25T00:00:00"/>
    <x v="3"/>
    <s v="Festival Offer"/>
    <n v="1693.28"/>
    <n v="163"/>
    <n v="15"/>
    <n v="44426.77"/>
    <n v="9.2025000000000006"/>
    <n v="25.237100000000002"/>
    <x v="0"/>
  </r>
  <r>
    <d v="2025-01-15T00:00:00"/>
    <x v="2"/>
    <s v="Festival Offer"/>
    <n v="5342.25"/>
    <n v="148"/>
    <n v="20"/>
    <n v="98073.39"/>
    <n v="13.513500000000001"/>
    <n v="17.3581"/>
    <x v="0"/>
  </r>
  <r>
    <d v="2025-01-06T00:00:00"/>
    <x v="0"/>
    <s v="New Product Launch"/>
    <n v="6181.95"/>
    <n v="154"/>
    <n v="39"/>
    <n v="141030.88"/>
    <n v="25.3247"/>
    <n v="21.813300000000002"/>
    <x v="0"/>
  </r>
  <r>
    <d v="2025-05-25T00:00:00"/>
    <x v="2"/>
    <s v="Brand Awareness"/>
    <n v="14447.33"/>
    <n v="240"/>
    <n v="46"/>
    <n v="222815.75"/>
    <n v="19.166699999999999"/>
    <n v="14.422599999999999"/>
    <x v="0"/>
  </r>
  <r>
    <d v="2025-11-01T00:00:00"/>
    <x v="4"/>
    <s v="Festival Offer"/>
    <n v="7771.1"/>
    <n v="24"/>
    <n v="1"/>
    <n v="1246.29"/>
    <n v="4.1666999999999996"/>
    <n v="-0.83960000000000001"/>
    <x v="1"/>
  </r>
  <r>
    <d v="2025-04-29T00:00:00"/>
    <x v="0"/>
    <s v="Lead Generation"/>
    <n v="7040.05"/>
    <n v="97"/>
    <n v="33"/>
    <n v="36179.46"/>
    <n v="34.020600000000002"/>
    <n v="4.1391"/>
    <x v="0"/>
  </r>
  <r>
    <d v="2025-06-12T00:00:00"/>
    <x v="3"/>
    <s v="Festival Offer"/>
    <n v="2984.12"/>
    <n v="47"/>
    <n v="8"/>
    <n v="30860.09"/>
    <n v="17.0213"/>
    <n v="9.3414000000000001"/>
    <x v="0"/>
  </r>
  <r>
    <d v="2025-01-02T00:00:00"/>
    <x v="3"/>
    <s v="Retargeting Campaign"/>
    <n v="4733.3500000000004"/>
    <n v="90"/>
    <n v="8"/>
    <n v="21092.78"/>
    <n v="8.8888999999999996"/>
    <n v="3.4561999999999999"/>
    <x v="0"/>
  </r>
  <r>
    <d v="2025-03-24T00:00:00"/>
    <x v="3"/>
    <s v="Retargeting Campaign"/>
    <n v="12759.77"/>
    <n v="234"/>
    <n v="44"/>
    <n v="133537.14000000001"/>
    <n v="18.8034"/>
    <n v="9.4655000000000005"/>
    <x v="0"/>
  </r>
  <r>
    <d v="2025-10-19T00:00:00"/>
    <x v="1"/>
    <s v="Brand Awareness"/>
    <n v="11681.85"/>
    <n v="135"/>
    <n v="20"/>
    <n v="113311.06"/>
    <n v="14.8148"/>
    <n v="8.6997999999999998"/>
    <x v="0"/>
  </r>
  <r>
    <d v="2025-10-10T00:00:00"/>
    <x v="1"/>
    <s v="Retargeting Campaign"/>
    <n v="7842.15"/>
    <n v="230"/>
    <n v="56"/>
    <n v="121329.61"/>
    <n v="24.347799999999999"/>
    <n v="14.471500000000001"/>
    <x v="0"/>
  </r>
  <r>
    <d v="2025-05-14T00:00:00"/>
    <x v="4"/>
    <s v="Festival Offer"/>
    <n v="8992.2999999999993"/>
    <n v="231"/>
    <n v="79"/>
    <n v="236281.03"/>
    <n v="34.199100000000001"/>
    <n v="25.2759"/>
    <x v="0"/>
  </r>
  <r>
    <d v="2025-05-07T00:00:00"/>
    <x v="2"/>
    <s v="Retargeting Campaign"/>
    <n v="6103.09"/>
    <n v="173"/>
    <n v="57"/>
    <n v="116375.66"/>
    <n v="32.948"/>
    <n v="18.068300000000001"/>
    <x v="0"/>
  </r>
  <r>
    <d v="2025-09-23T00:00:00"/>
    <x v="1"/>
    <s v="Festival Offer"/>
    <n v="12749.53"/>
    <n v="41"/>
    <n v="2"/>
    <n v="5878.69"/>
    <n v="4.8780000000000001"/>
    <n v="-0.53890000000000005"/>
    <x v="1"/>
  </r>
  <r>
    <d v="2025-07-04T00:00:00"/>
    <x v="0"/>
    <s v="Festival Offer"/>
    <n v="3495.15"/>
    <n v="137"/>
    <n v="18"/>
    <n v="107492.35"/>
    <n v="13.1387"/>
    <n v="29.7547"/>
    <x v="0"/>
  </r>
  <r>
    <d v="2025-12-30T00:00:00"/>
    <x v="0"/>
    <s v="New Product Launch"/>
    <n v="14932.23"/>
    <n v="104"/>
    <n v="33"/>
    <n v="79222.2"/>
    <n v="31.730799999999999"/>
    <n v="4.3055000000000003"/>
    <x v="0"/>
  </r>
  <r>
    <d v="2025-09-12T00:00:00"/>
    <x v="1"/>
    <s v="Lead Generation"/>
    <n v="6347.88"/>
    <n v="192"/>
    <n v="66"/>
    <n v="389168.21"/>
    <n v="34.375"/>
    <n v="60.306800000000003"/>
    <x v="0"/>
  </r>
  <r>
    <d v="2025-09-06T00:00:00"/>
    <x v="1"/>
    <s v="Festival Offer"/>
    <n v="1383.41"/>
    <n v="51"/>
    <n v="10"/>
    <n v="12751.59"/>
    <n v="19.607800000000001"/>
    <n v="8.2174999999999994"/>
    <x v="0"/>
  </r>
  <r>
    <d v="2025-11-19T00:00:00"/>
    <x v="1"/>
    <s v="Festival Offer"/>
    <n v="7401.18"/>
    <n v="189"/>
    <n v="60"/>
    <n v="130655.51"/>
    <n v="31.745999999999999"/>
    <n v="16.653300000000002"/>
    <x v="0"/>
  </r>
  <r>
    <d v="2025-05-02T00:00:00"/>
    <x v="2"/>
    <s v="New Product Launch"/>
    <n v="10229.870000000001"/>
    <n v="59"/>
    <n v="14"/>
    <n v="70632.73"/>
    <n v="23.7288"/>
    <n v="5.9046000000000003"/>
    <x v="0"/>
  </r>
  <r>
    <d v="2025-10-10T00:00:00"/>
    <x v="4"/>
    <s v="Lead Generation"/>
    <n v="6644.67"/>
    <n v="139"/>
    <n v="47"/>
    <n v="272116.06"/>
    <n v="33.812899999999999"/>
    <n v="39.952500000000001"/>
    <x v="0"/>
  </r>
  <r>
    <d v="2025-12-25T00:00:00"/>
    <x v="1"/>
    <s v="Festival Offer"/>
    <n v="8683.3700000000008"/>
    <n v="56"/>
    <n v="9"/>
    <n v="31911.13"/>
    <n v="16.071400000000001"/>
    <n v="2.6749999999999998"/>
    <x v="0"/>
  </r>
  <r>
    <d v="2025-08-15T00:00:00"/>
    <x v="1"/>
    <s v="New Product Launch"/>
    <n v="8845.31"/>
    <n v="85"/>
    <n v="25"/>
    <n v="109925.5"/>
    <n v="29.411799999999999"/>
    <n v="11.4275"/>
    <x v="0"/>
  </r>
  <r>
    <d v="2025-07-02T00:00:00"/>
    <x v="4"/>
    <s v="Retargeting Campaign"/>
    <n v="4296.7"/>
    <n v="26"/>
    <n v="6"/>
    <n v="14348.57"/>
    <n v="23.076899999999998"/>
    <n v="2.3393999999999999"/>
    <x v="0"/>
  </r>
  <r>
    <d v="2025-02-26T00:00:00"/>
    <x v="3"/>
    <s v="Brand Awareness"/>
    <n v="4572.78"/>
    <n v="46"/>
    <n v="18"/>
    <n v="57928.66"/>
    <n v="39.130400000000002"/>
    <n v="11.668100000000001"/>
    <x v="0"/>
  </r>
  <r>
    <d v="2025-10-29T00:00:00"/>
    <x v="2"/>
    <s v="New Product Launch"/>
    <n v="13438.37"/>
    <n v="24"/>
    <n v="1"/>
    <n v="3221.69"/>
    <n v="4.1666999999999996"/>
    <n v="-0.76029999999999998"/>
    <x v="1"/>
  </r>
  <r>
    <d v="2025-03-05T00:00:00"/>
    <x v="0"/>
    <s v="New Product Launch"/>
    <n v="13916.48"/>
    <n v="23"/>
    <n v="4"/>
    <n v="18451.62"/>
    <n v="17.391300000000001"/>
    <n v="0.32590000000000002"/>
    <x v="0"/>
  </r>
  <r>
    <d v="2025-11-04T00:00:00"/>
    <x v="0"/>
    <s v="Lead Generation"/>
    <n v="11383.4"/>
    <n v="47"/>
    <n v="3"/>
    <n v="6780.25"/>
    <n v="6.383"/>
    <n v="-0.40439999999999998"/>
    <x v="1"/>
  </r>
  <r>
    <d v="2025-06-23T00:00:00"/>
    <x v="3"/>
    <s v="Festival Offer"/>
    <n v="6978.62"/>
    <n v="206"/>
    <n v="55"/>
    <n v="308336.90000000002"/>
    <n v="26.699000000000002"/>
    <n v="43.183100000000003"/>
    <x v="0"/>
  </r>
  <r>
    <d v="2025-03-05T00:00:00"/>
    <x v="1"/>
    <s v="Retargeting Campaign"/>
    <n v="2722.23"/>
    <n v="70"/>
    <n v="6"/>
    <n v="17755.47"/>
    <n v="8.5714000000000006"/>
    <n v="5.5224000000000002"/>
    <x v="0"/>
  </r>
  <r>
    <d v="2025-02-23T00:00:00"/>
    <x v="0"/>
    <s v="Brand Awareness"/>
    <n v="1002.19"/>
    <n v="144"/>
    <n v="42"/>
    <n v="135114.29999999999"/>
    <n v="29.166699999999999"/>
    <n v="133.81899999999999"/>
    <x v="0"/>
  </r>
  <r>
    <d v="2025-03-27T00:00:00"/>
    <x v="1"/>
    <s v="Lead Generation"/>
    <n v="11373.29"/>
    <n v="104"/>
    <n v="37"/>
    <n v="68314.92"/>
    <n v="35.576900000000002"/>
    <n v="5.0065999999999997"/>
    <x v="0"/>
  </r>
  <r>
    <d v="2025-01-11T00:00:00"/>
    <x v="3"/>
    <s v="Festival Offer"/>
    <n v="9093.1200000000008"/>
    <n v="150"/>
    <n v="24"/>
    <n v="140504.1"/>
    <n v="16"/>
    <n v="14.451700000000001"/>
    <x v="0"/>
  </r>
  <r>
    <d v="2025-02-21T00:00:00"/>
    <x v="2"/>
    <s v="New Product Launch"/>
    <n v="7473.57"/>
    <n v="42"/>
    <n v="3"/>
    <n v="9971.69"/>
    <n v="7.1429"/>
    <n v="0.33429999999999999"/>
    <x v="0"/>
  </r>
  <r>
    <d v="2025-04-25T00:00:00"/>
    <x v="1"/>
    <s v="Retargeting Campaign"/>
    <n v="6662.73"/>
    <n v="154"/>
    <n v="55"/>
    <n v="182447.44"/>
    <n v="35.714300000000001"/>
    <n v="26.383299999999998"/>
    <x v="0"/>
  </r>
  <r>
    <d v="2025-08-18T00:00:00"/>
    <x v="1"/>
    <s v="Lead Generation"/>
    <n v="10968.48"/>
    <n v="148"/>
    <n v="50"/>
    <n v="104294.1"/>
    <n v="33.783799999999999"/>
    <n v="8.5084999999999997"/>
    <x v="0"/>
  </r>
  <r>
    <d v="2025-03-21T00:00:00"/>
    <x v="1"/>
    <s v="Festival Offer"/>
    <n v="6178.1"/>
    <n v="71"/>
    <n v="9"/>
    <n v="53016.41"/>
    <n v="12.6761"/>
    <n v="7.5812999999999997"/>
    <x v="0"/>
  </r>
  <r>
    <d v="2025-08-16T00:00:00"/>
    <x v="0"/>
    <s v="Lead Generation"/>
    <n v="10676.66"/>
    <n v="229"/>
    <n v="83"/>
    <n v="212762.56"/>
    <n v="36.244500000000002"/>
    <n v="18.927800000000001"/>
    <x v="0"/>
  </r>
  <r>
    <d v="2025-08-31T00:00:00"/>
    <x v="2"/>
    <s v="Lead Generation"/>
    <n v="3015.69"/>
    <n v="148"/>
    <n v="43"/>
    <n v="164672.04999999999"/>
    <n v="29.054099999999998"/>
    <n v="53.6051"/>
    <x v="0"/>
  </r>
  <r>
    <d v="2025-07-25T00:00:00"/>
    <x v="3"/>
    <s v="Festival Offer"/>
    <n v="12987.65"/>
    <n v="184"/>
    <n v="69"/>
    <n v="323798.19"/>
    <n v="37.5"/>
    <n v="23.9312"/>
    <x v="0"/>
  </r>
  <r>
    <d v="2025-04-14T00:00:00"/>
    <x v="2"/>
    <s v="Retargeting Campaign"/>
    <n v="12401.79"/>
    <n v="37"/>
    <n v="7"/>
    <n v="28771.23"/>
    <n v="18.918900000000001"/>
    <n v="1.3199000000000001"/>
    <x v="0"/>
  </r>
  <r>
    <d v="2025-06-20T00:00:00"/>
    <x v="4"/>
    <s v="Retargeting Campaign"/>
    <n v="4096.16"/>
    <n v="194"/>
    <n v="3"/>
    <n v="5907.2"/>
    <n v="1.5464"/>
    <n v="0.44209999999999999"/>
    <x v="0"/>
  </r>
  <r>
    <d v="2025-06-19T00:00:00"/>
    <x v="2"/>
    <s v="Lead Generation"/>
    <n v="8095.17"/>
    <n v="212"/>
    <n v="50"/>
    <n v="184649.21"/>
    <n v="23.584900000000001"/>
    <n v="21.809799999999999"/>
    <x v="0"/>
  </r>
  <r>
    <d v="2025-06-24T00:00:00"/>
    <x v="0"/>
    <s v="Retargeting Campaign"/>
    <n v="14781.95"/>
    <n v="24"/>
    <n v="8"/>
    <n v="29841.66"/>
    <n v="33.333300000000001"/>
    <n v="1.0187999999999999"/>
    <x v="0"/>
  </r>
  <r>
    <d v="2025-03-28T00:00:00"/>
    <x v="3"/>
    <s v="Festival Offer"/>
    <n v="11658.39"/>
    <n v="199"/>
    <n v="42"/>
    <n v="177838.87"/>
    <n v="21.105499999999999"/>
    <n v="14.254200000000001"/>
    <x v="0"/>
  </r>
  <r>
    <d v="2025-03-08T00:00:00"/>
    <x v="3"/>
    <s v="Retargeting Campaign"/>
    <n v="5493.78"/>
    <n v="162"/>
    <n v="44"/>
    <n v="203280.88"/>
    <n v="27.160499999999999"/>
    <n v="36.002000000000002"/>
    <x v="0"/>
  </r>
  <r>
    <d v="2025-09-11T00:00:00"/>
    <x v="0"/>
    <s v="Brand Awareness"/>
    <n v="12288.41"/>
    <n v="70"/>
    <n v="6"/>
    <n v="32656.13"/>
    <n v="8.5714000000000006"/>
    <n v="1.6575"/>
    <x v="0"/>
  </r>
  <r>
    <d v="2025-04-11T00:00:00"/>
    <x v="1"/>
    <s v="Brand Awareness"/>
    <n v="6288.37"/>
    <n v="35"/>
    <n v="10"/>
    <n v="51481.62"/>
    <n v="28.571400000000001"/>
    <n v="7.1867999999999999"/>
    <x v="0"/>
  </r>
  <r>
    <d v="2025-02-21T00:00:00"/>
    <x v="4"/>
    <s v="Brand Awareness"/>
    <n v="8276.1"/>
    <n v="133"/>
    <n v="44"/>
    <n v="115028.01"/>
    <n v="33.082700000000003"/>
    <n v="12.8988"/>
    <x v="0"/>
  </r>
  <r>
    <d v="2025-08-20T00:00:00"/>
    <x v="4"/>
    <s v="Brand Awareness"/>
    <n v="10804.74"/>
    <n v="108"/>
    <n v="38"/>
    <n v="146998.29"/>
    <n v="35.185200000000002"/>
    <n v="12.605"/>
    <x v="0"/>
  </r>
  <r>
    <d v="2025-09-23T00:00:00"/>
    <x v="0"/>
    <s v="New Product Launch"/>
    <n v="14641.34"/>
    <n v="25"/>
    <n v="4"/>
    <n v="9509.44"/>
    <n v="16"/>
    <n v="-0.35049999999999998"/>
    <x v="1"/>
  </r>
  <r>
    <d v="2025-11-26T00:00:00"/>
    <x v="1"/>
    <s v="Festival Offer"/>
    <n v="10817.01"/>
    <n v="189"/>
    <n v="45"/>
    <n v="251065.09"/>
    <n v="23.8095"/>
    <n v="22.2102"/>
    <x v="0"/>
  </r>
  <r>
    <d v="2025-11-20T00:00:00"/>
    <x v="3"/>
    <s v="Retargeting Campaign"/>
    <n v="9679.6"/>
    <n v="130"/>
    <n v="44"/>
    <n v="118717.27"/>
    <n v="33.846200000000003"/>
    <n v="11.264699999999999"/>
    <x v="0"/>
  </r>
  <r>
    <d v="2025-12-22T00:00:00"/>
    <x v="1"/>
    <s v="New Product Launch"/>
    <n v="1125.7"/>
    <n v="121"/>
    <n v="37"/>
    <n v="156356.87"/>
    <n v="30.578499999999998"/>
    <n v="137.89750000000001"/>
    <x v="0"/>
  </r>
  <r>
    <d v="2025-07-22T00:00:00"/>
    <x v="0"/>
    <s v="Retargeting Campaign"/>
    <n v="7502.35"/>
    <n v="104"/>
    <n v="32"/>
    <n v="180973.89"/>
    <n v="30.769200000000001"/>
    <n v="23.122299999999999"/>
    <x v="0"/>
  </r>
  <r>
    <d v="2025-03-12T00:00:00"/>
    <x v="0"/>
    <s v="Festival Offer"/>
    <n v="2081.4299999999998"/>
    <n v="204"/>
    <n v="3"/>
    <n v="10994.61"/>
    <n v="1.4705999999999999"/>
    <n v="4.2821999999999996"/>
    <x v="0"/>
  </r>
  <r>
    <d v="2025-07-30T00:00:00"/>
    <x v="4"/>
    <s v="Festival Offer"/>
    <n v="14191.41"/>
    <n v="202"/>
    <n v="28"/>
    <n v="58647.39"/>
    <n v="13.8614"/>
    <n v="3.1326000000000001"/>
    <x v="0"/>
  </r>
  <r>
    <d v="2025-03-24T00:00:00"/>
    <x v="0"/>
    <s v="New Product Launch"/>
    <n v="10131.129999999999"/>
    <n v="233"/>
    <n v="9"/>
    <n v="44802.95"/>
    <n v="3.8626999999999998"/>
    <n v="3.4222999999999999"/>
    <x v="0"/>
  </r>
  <r>
    <d v="2025-03-25T00:00:00"/>
    <x v="3"/>
    <s v="New Product Launch"/>
    <n v="10330.33"/>
    <n v="127"/>
    <n v="14"/>
    <n v="34586.17"/>
    <n v="11.0236"/>
    <n v="2.3479999999999999"/>
    <x v="0"/>
  </r>
  <r>
    <d v="2025-07-10T00:00:00"/>
    <x v="2"/>
    <s v="New Product Launch"/>
    <n v="14347.59"/>
    <n v="213"/>
    <n v="30"/>
    <n v="174441.31"/>
    <n v="14.0845"/>
    <n v="11.158200000000001"/>
    <x v="0"/>
  </r>
  <r>
    <d v="2025-12-29T00:00:00"/>
    <x v="4"/>
    <s v="New Product Launch"/>
    <n v="13674.99"/>
    <n v="141"/>
    <n v="54"/>
    <n v="92151.15"/>
    <n v="38.297899999999998"/>
    <n v="5.7386999999999997"/>
    <x v="0"/>
  </r>
  <r>
    <d v="2025-10-24T00:00:00"/>
    <x v="4"/>
    <s v="Brand Awareness"/>
    <n v="7159.28"/>
    <n v="95"/>
    <n v="32"/>
    <n v="115624.73"/>
    <n v="33.684199999999997"/>
    <n v="15.1503"/>
    <x v="0"/>
  </r>
  <r>
    <d v="2025-04-10T00:00:00"/>
    <x v="4"/>
    <s v="Lead Generation"/>
    <n v="4220.95"/>
    <n v="104"/>
    <n v="5"/>
    <n v="28627.89"/>
    <n v="4.8076999999999996"/>
    <n v="5.7823000000000002"/>
    <x v="0"/>
  </r>
  <r>
    <d v="2025-03-24T00:00:00"/>
    <x v="1"/>
    <s v="Lead Generation"/>
    <n v="14675.42"/>
    <n v="143"/>
    <n v="38"/>
    <n v="143295.4"/>
    <n v="26.573399999999999"/>
    <n v="8.7643000000000004"/>
    <x v="0"/>
  </r>
  <r>
    <d v="2025-10-01T00:00:00"/>
    <x v="4"/>
    <s v="New Product Launch"/>
    <n v="12359.18"/>
    <n v="195"/>
    <n v="78"/>
    <n v="385302.42"/>
    <n v="40"/>
    <n v="30.1754"/>
    <x v="0"/>
  </r>
  <r>
    <d v="2025-03-06T00:00:00"/>
    <x v="1"/>
    <s v="Retargeting Campaign"/>
    <n v="14425.27"/>
    <n v="36"/>
    <n v="8"/>
    <n v="36451.769999999997"/>
    <n v="22.222200000000001"/>
    <n v="1.5268999999999999"/>
    <x v="0"/>
  </r>
  <r>
    <d v="2025-04-24T00:00:00"/>
    <x v="0"/>
    <s v="Festival Offer"/>
    <n v="13010.99"/>
    <n v="31"/>
    <n v="9"/>
    <n v="30028.13"/>
    <n v="29.032299999999999"/>
    <n v="1.3079000000000001"/>
    <x v="0"/>
  </r>
  <r>
    <d v="2025-05-01T00:00:00"/>
    <x v="3"/>
    <s v="Retargeting Campaign"/>
    <n v="12099.97"/>
    <n v="155"/>
    <n v="1"/>
    <n v="2640.1"/>
    <n v="0.6452"/>
    <n v="-0.78180000000000005"/>
    <x v="1"/>
  </r>
  <r>
    <d v="2025-08-06T00:00:00"/>
    <x v="0"/>
    <s v="Lead Generation"/>
    <n v="7123.82"/>
    <n v="84"/>
    <n v="30"/>
    <n v="58872.86"/>
    <n v="35.714300000000001"/>
    <n v="7.2641999999999998"/>
    <x v="0"/>
  </r>
  <r>
    <d v="2025-09-02T00:00:00"/>
    <x v="2"/>
    <s v="Brand Awareness"/>
    <n v="8302.5400000000009"/>
    <n v="56"/>
    <n v="14"/>
    <n v="47145.87"/>
    <n v="25"/>
    <n v="4.6784999999999997"/>
    <x v="0"/>
  </r>
  <r>
    <d v="2025-10-22T00:00:00"/>
    <x v="4"/>
    <s v="Brand Awareness"/>
    <n v="7111.69"/>
    <n v="110"/>
    <n v="2"/>
    <n v="10964.66"/>
    <n v="1.8182"/>
    <n v="0.54179999999999995"/>
    <x v="0"/>
  </r>
  <r>
    <d v="2025-07-20T00:00:00"/>
    <x v="3"/>
    <s v="Brand Awareness"/>
    <n v="2033.69"/>
    <n v="107"/>
    <n v="5"/>
    <n v="22175.61"/>
    <n v="4.6729000000000003"/>
    <n v="9.9040999999999997"/>
    <x v="0"/>
  </r>
  <r>
    <d v="2025-08-15T00:00:00"/>
    <x v="2"/>
    <s v="Retargeting Campaign"/>
    <n v="3705.5"/>
    <n v="202"/>
    <n v="43"/>
    <n v="72120.289999999994"/>
    <n v="21.287099999999999"/>
    <n v="18.463000000000001"/>
    <x v="0"/>
  </r>
  <r>
    <d v="2025-07-23T00:00:00"/>
    <x v="0"/>
    <s v="Festival Offer"/>
    <n v="7464.07"/>
    <n v="182"/>
    <n v="10"/>
    <n v="24281.5"/>
    <n v="5.4945000000000004"/>
    <n v="2.2530999999999999"/>
    <x v="0"/>
  </r>
  <r>
    <d v="2025-10-10T00:00:00"/>
    <x v="0"/>
    <s v="Festival Offer"/>
    <n v="2056.58"/>
    <n v="228"/>
    <n v="66"/>
    <n v="93701.42"/>
    <n v="28.947399999999998"/>
    <n v="44.561799999999998"/>
    <x v="0"/>
  </r>
  <r>
    <d v="2025-09-24T00:00:00"/>
    <x v="2"/>
    <s v="Brand Awareness"/>
    <n v="9034.56"/>
    <n v="233"/>
    <n v="79"/>
    <n v="419145.87"/>
    <n v="33.9056"/>
    <n v="45.393599999999999"/>
    <x v="0"/>
  </r>
  <r>
    <d v="2025-02-25T00:00:00"/>
    <x v="2"/>
    <s v="New Product Launch"/>
    <n v="7077.21"/>
    <n v="191"/>
    <n v="27"/>
    <n v="70581.42"/>
    <n v="14.136100000000001"/>
    <n v="8.9731000000000005"/>
    <x v="0"/>
  </r>
  <r>
    <d v="2025-06-24T00:00:00"/>
    <x v="0"/>
    <s v="New Product Launch"/>
    <n v="10218.36"/>
    <n v="213"/>
    <n v="2"/>
    <n v="5856.91"/>
    <n v="0.93899999999999995"/>
    <n v="-0.42680000000000001"/>
    <x v="1"/>
  </r>
  <r>
    <d v="2025-09-13T00:00:00"/>
    <x v="1"/>
    <s v="Retargeting Campaign"/>
    <n v="10758.31"/>
    <n v="62"/>
    <n v="15"/>
    <n v="32287.57"/>
    <n v="24.1935"/>
    <n v="2.0011999999999999"/>
    <x v="0"/>
  </r>
  <r>
    <d v="2025-12-19T00:00:00"/>
    <x v="2"/>
    <s v="Retargeting Campaign"/>
    <n v="13149.35"/>
    <n v="29"/>
    <n v="8"/>
    <n v="22513.66"/>
    <n v="27.586200000000002"/>
    <n v="0.71220000000000006"/>
    <x v="0"/>
  </r>
  <r>
    <d v="2025-02-04T00:00:00"/>
    <x v="2"/>
    <s v="New Product Launch"/>
    <n v="4167.7299999999996"/>
    <n v="41"/>
    <n v="1"/>
    <n v="3397.39"/>
    <n v="2.4390000000000001"/>
    <n v="-0.18479999999999999"/>
    <x v="1"/>
  </r>
  <r>
    <d v="2025-09-23T00:00:00"/>
    <x v="2"/>
    <s v="Brand Awareness"/>
    <n v="10198.08"/>
    <n v="31"/>
    <n v="7"/>
    <n v="14723.55"/>
    <n v="22.5806"/>
    <n v="0.44379999999999997"/>
    <x v="0"/>
  </r>
  <r>
    <d v="2025-09-20T00:00:00"/>
    <x v="0"/>
    <s v="New Product Launch"/>
    <n v="14564.99"/>
    <n v="91"/>
    <n v="11"/>
    <n v="64153.9"/>
    <n v="12.087899999999999"/>
    <n v="3.4047000000000001"/>
    <x v="0"/>
  </r>
  <r>
    <d v="2025-02-07T00:00:00"/>
    <x v="3"/>
    <s v="Lead Generation"/>
    <n v="9702.74"/>
    <n v="231"/>
    <n v="20"/>
    <n v="84227.56"/>
    <n v="8.6579999999999995"/>
    <n v="7.6807999999999996"/>
    <x v="0"/>
  </r>
  <r>
    <d v="2025-05-25T00:00:00"/>
    <x v="0"/>
    <s v="Festival Offer"/>
    <n v="5060.1499999999996"/>
    <n v="161"/>
    <n v="37"/>
    <n v="184034.12"/>
    <n v="22.981400000000001"/>
    <n v="35.369300000000003"/>
    <x v="0"/>
  </r>
  <r>
    <d v="2025-10-19T00:00:00"/>
    <x v="2"/>
    <s v="Retargeting Campaign"/>
    <n v="1908.57"/>
    <n v="185"/>
    <n v="29"/>
    <n v="79260.52"/>
    <n v="15.675700000000001"/>
    <n v="40.528700000000001"/>
    <x v="0"/>
  </r>
  <r>
    <d v="2025-03-06T00:00:00"/>
    <x v="2"/>
    <s v="Brand Awareness"/>
    <n v="7556.37"/>
    <n v="145"/>
    <n v="44"/>
    <n v="252515.42"/>
    <n v="30.344799999999999"/>
    <n v="32.4176"/>
    <x v="0"/>
  </r>
  <r>
    <d v="2025-01-01T00:00:00"/>
    <x v="1"/>
    <s v="Lead Generation"/>
    <n v="3312.85"/>
    <n v="160"/>
    <n v="38"/>
    <n v="190682.9"/>
    <n v="23.75"/>
    <n v="56.558599999999998"/>
    <x v="0"/>
  </r>
  <r>
    <d v="2025-06-07T00:00:00"/>
    <x v="1"/>
    <s v="Brand Awareness"/>
    <n v="3187.39"/>
    <n v="77"/>
    <n v="4"/>
    <n v="18523.43"/>
    <n v="5.1947999999999999"/>
    <n v="4.8114999999999997"/>
    <x v="0"/>
  </r>
  <r>
    <d v="2025-01-15T00:00:00"/>
    <x v="1"/>
    <s v="Festival Offer"/>
    <n v="8535.59"/>
    <n v="162"/>
    <n v="54"/>
    <n v="272597.43"/>
    <n v="33.333300000000001"/>
    <n v="30.936599999999999"/>
    <x v="0"/>
  </r>
  <r>
    <d v="2025-05-08T00:00:00"/>
    <x v="3"/>
    <s v="New Product Launch"/>
    <n v="13783.29"/>
    <n v="160"/>
    <n v="31"/>
    <n v="75369.77"/>
    <n v="19.375"/>
    <n v="4.4682000000000004"/>
    <x v="0"/>
  </r>
  <r>
    <d v="2025-09-01T00:00:00"/>
    <x v="1"/>
    <s v="New Product Launch"/>
    <n v="5909.17"/>
    <n v="35"/>
    <n v="5"/>
    <n v="16709.849999999999"/>
    <n v="14.2857"/>
    <n v="1.8278000000000001"/>
    <x v="0"/>
  </r>
  <r>
    <d v="2025-11-16T00:00:00"/>
    <x v="4"/>
    <s v="Festival Offer"/>
    <n v="7542.77"/>
    <n v="49"/>
    <n v="18"/>
    <n v="100388.87"/>
    <n v="36.734699999999997"/>
    <n v="12.3093"/>
    <x v="0"/>
  </r>
  <r>
    <d v="2025-07-09T00:00:00"/>
    <x v="4"/>
    <s v="Festival Offer"/>
    <n v="12022.8"/>
    <n v="37"/>
    <n v="2"/>
    <n v="9579.65"/>
    <n v="5.4054000000000002"/>
    <n v="-0.20319999999999999"/>
    <x v="1"/>
  </r>
  <r>
    <d v="2025-10-19T00:00:00"/>
    <x v="3"/>
    <s v="New Product Launch"/>
    <n v="1699.75"/>
    <n v="45"/>
    <n v="18"/>
    <n v="74617.08"/>
    <n v="40"/>
    <n v="42.898899999999998"/>
    <x v="0"/>
  </r>
  <r>
    <d v="2025-11-10T00:00:00"/>
    <x v="2"/>
    <s v="Retargeting Campaign"/>
    <n v="3764.36"/>
    <n v="79"/>
    <n v="9"/>
    <n v="40741.199999999997"/>
    <n v="11.3924"/>
    <n v="9.8229000000000006"/>
    <x v="0"/>
  </r>
  <r>
    <d v="2025-11-08T00:00:00"/>
    <x v="2"/>
    <s v="Retargeting Campaign"/>
    <n v="12061.05"/>
    <n v="124"/>
    <n v="18"/>
    <n v="59799.69"/>
    <n v="14.5161"/>
    <n v="3.9581"/>
    <x v="0"/>
  </r>
  <r>
    <d v="2025-01-14T00:00:00"/>
    <x v="1"/>
    <s v="Brand Awareness"/>
    <n v="5614.26"/>
    <n v="99"/>
    <n v="1"/>
    <n v="3385.22"/>
    <n v="1.0101"/>
    <n v="-0.39700000000000002"/>
    <x v="1"/>
  </r>
  <r>
    <d v="2025-10-15T00:00:00"/>
    <x v="0"/>
    <s v="New Product Launch"/>
    <n v="13055.25"/>
    <n v="121"/>
    <n v="13"/>
    <n v="22587.54"/>
    <n v="10.7438"/>
    <n v="0.73009999999999997"/>
    <x v="0"/>
  </r>
  <r>
    <d v="2025-10-04T00:00:00"/>
    <x v="4"/>
    <s v="New Product Launch"/>
    <n v="1553.02"/>
    <n v="136"/>
    <n v="33"/>
    <n v="179943.89"/>
    <n v="24.264700000000001"/>
    <n v="114.86709999999999"/>
    <x v="0"/>
  </r>
  <r>
    <d v="2025-12-02T00:00:00"/>
    <x v="1"/>
    <s v="Brand Awareness"/>
    <n v="6659.36"/>
    <n v="209"/>
    <n v="24"/>
    <n v="111276.32"/>
    <n v="11.4833"/>
    <n v="15.7098"/>
    <x v="0"/>
  </r>
  <r>
    <d v="2025-05-18T00:00:00"/>
    <x v="1"/>
    <s v="Brand Awareness"/>
    <n v="2490.4499999999998"/>
    <n v="94"/>
    <n v="26"/>
    <n v="69981.59"/>
    <n v="27.659600000000001"/>
    <n v="27.1"/>
    <x v="0"/>
  </r>
  <r>
    <d v="2025-12-31T00:00:00"/>
    <x v="2"/>
    <s v="Festival Offer"/>
    <n v="5879.31"/>
    <n v="114"/>
    <n v="15"/>
    <n v="23885.32"/>
    <n v="13.1579"/>
    <n v="3.0626000000000002"/>
    <x v="0"/>
  </r>
  <r>
    <d v="2025-01-11T00:00:00"/>
    <x v="0"/>
    <s v="New Product Launch"/>
    <n v="6565.97"/>
    <n v="208"/>
    <n v="45"/>
    <n v="82829.81"/>
    <n v="21.634599999999999"/>
    <n v="11.615"/>
    <x v="0"/>
  </r>
  <r>
    <d v="2025-07-15T00:00:00"/>
    <x v="1"/>
    <s v="Retargeting Campaign"/>
    <n v="4399.6899999999996"/>
    <n v="118"/>
    <n v="40"/>
    <n v="114366.14"/>
    <n v="33.898299999999999"/>
    <n v="24.9941"/>
    <x v="0"/>
  </r>
  <r>
    <d v="2025-02-07T00:00:00"/>
    <x v="0"/>
    <s v="Brand Awareness"/>
    <n v="7552.37"/>
    <n v="238"/>
    <n v="76"/>
    <n v="408788.5"/>
    <n v="31.9328"/>
    <n v="53.127200000000002"/>
    <x v="0"/>
  </r>
  <r>
    <d v="2025-12-19T00:00:00"/>
    <x v="4"/>
    <s v="Brand Awareness"/>
    <n v="12069.67"/>
    <n v="80"/>
    <n v="15"/>
    <n v="62089.2"/>
    <n v="18.75"/>
    <n v="4.1441999999999997"/>
    <x v="0"/>
  </r>
  <r>
    <d v="2025-10-17T00:00:00"/>
    <x v="0"/>
    <s v="Lead Generation"/>
    <n v="14001.69"/>
    <n v="80"/>
    <n v="22"/>
    <n v="38377.86"/>
    <n v="27.5"/>
    <n v="1.7408999999999999"/>
    <x v="0"/>
  </r>
  <r>
    <d v="2025-05-12T00:00:00"/>
    <x v="4"/>
    <s v="Retargeting Campaign"/>
    <n v="6651.98"/>
    <n v="211"/>
    <n v="52"/>
    <n v="156171.26"/>
    <n v="24.644500000000001"/>
    <n v="22.477399999999999"/>
    <x v="0"/>
  </r>
  <r>
    <d v="2025-07-28T00:00:00"/>
    <x v="4"/>
    <s v="Festival Offer"/>
    <n v="7607.02"/>
    <n v="109"/>
    <n v="43"/>
    <n v="109010.78"/>
    <n v="39.4495"/>
    <n v="13.330299999999999"/>
    <x v="0"/>
  </r>
  <r>
    <d v="2025-02-04T00:00:00"/>
    <x v="3"/>
    <s v="Brand Awareness"/>
    <n v="14345.36"/>
    <n v="21"/>
    <n v="3"/>
    <n v="8049.82"/>
    <n v="14.2857"/>
    <n v="-0.43890000000000001"/>
    <x v="1"/>
  </r>
  <r>
    <d v="2025-09-18T00:00:00"/>
    <x v="3"/>
    <s v="Retargeting Campaign"/>
    <n v="10689.31"/>
    <n v="104"/>
    <n v="24"/>
    <n v="138102.76999999999"/>
    <n v="23.076899999999998"/>
    <n v="11.919700000000001"/>
    <x v="0"/>
  </r>
  <r>
    <d v="2025-10-04T00:00:00"/>
    <x v="1"/>
    <s v="Brand Awareness"/>
    <n v="1444.66"/>
    <n v="93"/>
    <n v="17"/>
    <n v="77665.570000000007"/>
    <n v="18.279599999999999"/>
    <n v="52.760399999999997"/>
    <x v="0"/>
  </r>
  <r>
    <d v="2025-11-25T00:00:00"/>
    <x v="3"/>
    <s v="Brand Awareness"/>
    <n v="14680.19"/>
    <n v="217"/>
    <n v="66"/>
    <n v="216323.09"/>
    <n v="30.4147"/>
    <n v="13.7357"/>
    <x v="0"/>
  </r>
  <r>
    <d v="2025-08-08T00:00:00"/>
    <x v="0"/>
    <s v="Festival Offer"/>
    <n v="12563.49"/>
    <n v="118"/>
    <n v="42"/>
    <n v="201805.35"/>
    <n v="35.593200000000003"/>
    <n v="15.062799999999999"/>
    <x v="0"/>
  </r>
  <r>
    <d v="2025-12-10T00:00:00"/>
    <x v="0"/>
    <s v="Lead Generation"/>
    <n v="6947.01"/>
    <n v="98"/>
    <n v="19"/>
    <n v="67990.61"/>
    <n v="19.387799999999999"/>
    <n v="8.7870000000000008"/>
    <x v="0"/>
  </r>
  <r>
    <d v="2025-01-25T00:00:00"/>
    <x v="1"/>
    <s v="New Product Launch"/>
    <n v="8924.02"/>
    <n v="22"/>
    <n v="5"/>
    <n v="5366.33"/>
    <n v="22.7273"/>
    <n v="-0.3987"/>
    <x v="1"/>
  </r>
  <r>
    <d v="2025-04-13T00:00:00"/>
    <x v="4"/>
    <s v="Festival Offer"/>
    <n v="4785.92"/>
    <n v="113"/>
    <n v="16"/>
    <n v="47235.839999999997"/>
    <n v="14.1593"/>
    <n v="8.8697999999999997"/>
    <x v="0"/>
  </r>
  <r>
    <d v="2025-01-09T00:00:00"/>
    <x v="2"/>
    <s v="Retargeting Campaign"/>
    <n v="12637.32"/>
    <n v="120"/>
    <n v="37"/>
    <n v="66100.84"/>
    <n v="30.833300000000001"/>
    <n v="4.2305999999999999"/>
    <x v="0"/>
  </r>
  <r>
    <d v="2025-03-28T00:00:00"/>
    <x v="0"/>
    <s v="Retargeting Campaign"/>
    <n v="10272.9"/>
    <n v="208"/>
    <n v="6"/>
    <n v="9801.7800000000007"/>
    <n v="2.8845999999999998"/>
    <n v="-4.5900000000000003E-2"/>
    <x v="1"/>
  </r>
  <r>
    <d v="2025-11-16T00:00:00"/>
    <x v="4"/>
    <s v="New Product Launch"/>
    <n v="9030.99"/>
    <n v="145"/>
    <n v="6"/>
    <n v="14681.42"/>
    <n v="4.1379000000000001"/>
    <n v="0.62570000000000003"/>
    <x v="0"/>
  </r>
  <r>
    <d v="2025-09-17T00:00:00"/>
    <x v="1"/>
    <s v="Retargeting Campaign"/>
    <n v="10512.95"/>
    <n v="45"/>
    <n v="7"/>
    <n v="38886.019999999997"/>
    <n v="15.5556"/>
    <n v="2.6989000000000001"/>
    <x v="0"/>
  </r>
  <r>
    <d v="2025-01-02T00:00:00"/>
    <x v="4"/>
    <s v="Lead Generation"/>
    <n v="5060.45"/>
    <n v="208"/>
    <n v="64"/>
    <n v="370607.09"/>
    <n v="30.769200000000001"/>
    <n v="72.236000000000004"/>
    <x v="0"/>
  </r>
  <r>
    <d v="2025-07-07T00:00:00"/>
    <x v="3"/>
    <s v="Festival Offer"/>
    <n v="1380.42"/>
    <n v="72"/>
    <n v="15"/>
    <n v="86690.65"/>
    <n v="20.833300000000001"/>
    <n v="61.800199999999997"/>
    <x v="0"/>
  </r>
  <r>
    <d v="2025-06-10T00:00:00"/>
    <x v="4"/>
    <s v="Lead Generation"/>
    <n v="3210.75"/>
    <n v="148"/>
    <n v="41"/>
    <n v="42123.19"/>
    <n v="27.7027"/>
    <n v="12.119400000000001"/>
    <x v="0"/>
  </r>
  <r>
    <d v="2025-02-23T00:00:00"/>
    <x v="3"/>
    <s v="Festival Offer"/>
    <n v="14011.23"/>
    <n v="228"/>
    <n v="24"/>
    <n v="95391.97"/>
    <n v="10.526300000000001"/>
    <n v="5.8083"/>
    <x v="0"/>
  </r>
  <r>
    <d v="2025-12-21T00:00:00"/>
    <x v="2"/>
    <s v="Brand Awareness"/>
    <n v="11761.24"/>
    <n v="162"/>
    <n v="21"/>
    <n v="48455.75"/>
    <n v="12.962999999999999"/>
    <n v="3.12"/>
    <x v="0"/>
  </r>
  <r>
    <d v="2025-09-12T00:00:00"/>
    <x v="1"/>
    <s v="Lead Generation"/>
    <n v="8096.66"/>
    <n v="226"/>
    <n v="58"/>
    <n v="86573.57"/>
    <n v="25.663699999999999"/>
    <n v="9.6925000000000008"/>
    <x v="0"/>
  </r>
  <r>
    <d v="2025-06-03T00:00:00"/>
    <x v="1"/>
    <s v="New Product Launch"/>
    <n v="12966.34"/>
    <n v="52"/>
    <n v="9"/>
    <n v="25910.799999999999"/>
    <n v="17.307700000000001"/>
    <n v="0.99829999999999997"/>
    <x v="0"/>
  </r>
  <r>
    <d v="2025-03-08T00:00:00"/>
    <x v="2"/>
    <s v="Festival Offer"/>
    <n v="1667.18"/>
    <n v="68"/>
    <n v="26"/>
    <n v="148650.53"/>
    <n v="38.235300000000002"/>
    <n v="88.162899999999993"/>
    <x v="0"/>
  </r>
  <r>
    <d v="2025-07-07T00:00:00"/>
    <x v="1"/>
    <s v="Lead Generation"/>
    <n v="6476.14"/>
    <n v="188"/>
    <n v="24"/>
    <n v="116178.61"/>
    <n v="12.766"/>
    <n v="16.939499999999999"/>
    <x v="0"/>
  </r>
  <r>
    <d v="2025-05-17T00:00:00"/>
    <x v="1"/>
    <s v="Brand Awareness"/>
    <n v="8284.81"/>
    <n v="93"/>
    <n v="31"/>
    <n v="106444.94"/>
    <n v="33.333300000000001"/>
    <n v="11.8482"/>
    <x v="0"/>
  </r>
  <r>
    <d v="2025-04-08T00:00:00"/>
    <x v="3"/>
    <s v="Brand Awareness"/>
    <n v="4232.68"/>
    <n v="104"/>
    <n v="35"/>
    <n v="102831.01"/>
    <n v="33.653799999999997"/>
    <n v="23.294499999999999"/>
    <x v="0"/>
  </r>
  <r>
    <d v="2025-10-27T00:00:00"/>
    <x v="2"/>
    <s v="Brand Awareness"/>
    <n v="8405.7999999999993"/>
    <n v="220"/>
    <n v="23"/>
    <n v="72764.070000000007"/>
    <n v="10.454499999999999"/>
    <n v="7.6563999999999997"/>
    <x v="0"/>
  </r>
  <r>
    <d v="2025-11-27T00:00:00"/>
    <x v="4"/>
    <s v="Festival Offer"/>
    <n v="10735.14"/>
    <n v="48"/>
    <n v="6"/>
    <n v="13959.52"/>
    <n v="12.5"/>
    <n v="0.3004"/>
    <x v="0"/>
  </r>
  <r>
    <d v="2025-08-30T00:00:00"/>
    <x v="2"/>
    <s v="Retargeting Campaign"/>
    <n v="14633.75"/>
    <n v="113"/>
    <n v="43"/>
    <n v="228627.78"/>
    <n v="38.053100000000001"/>
    <n v="14.6233"/>
    <x v="0"/>
  </r>
  <r>
    <d v="2025-12-09T00:00:00"/>
    <x v="1"/>
    <s v="New Product Launch"/>
    <n v="3430.41"/>
    <n v="64"/>
    <n v="2"/>
    <n v="4584.8999999999996"/>
    <n v="3.125"/>
    <n v="0.33650000000000002"/>
    <x v="0"/>
  </r>
  <r>
    <d v="2025-09-01T00:00:00"/>
    <x v="0"/>
    <s v="Lead Generation"/>
    <n v="7339.7"/>
    <n v="107"/>
    <n v="37"/>
    <n v="177873.03"/>
    <n v="34.5794"/>
    <n v="23.234400000000001"/>
    <x v="0"/>
  </r>
  <r>
    <d v="2025-11-24T00:00:00"/>
    <x v="0"/>
    <s v="Lead Generation"/>
    <n v="13959.89"/>
    <n v="77"/>
    <n v="28"/>
    <n v="154738.95000000001"/>
    <n v="36.363599999999998"/>
    <n v="10.0845"/>
    <x v="0"/>
  </r>
  <r>
    <d v="2025-07-03T00:00:00"/>
    <x v="1"/>
    <s v="New Product Launch"/>
    <n v="9499.7099999999991"/>
    <n v="220"/>
    <n v="11"/>
    <n v="62973.33"/>
    <n v="5"/>
    <n v="5.6289999999999996"/>
    <x v="0"/>
  </r>
  <r>
    <d v="2025-09-05T00:00:00"/>
    <x v="3"/>
    <s v="Retargeting Campaign"/>
    <n v="4810.6899999999996"/>
    <n v="102"/>
    <n v="38"/>
    <n v="184548.28"/>
    <n v="37.254899999999999"/>
    <n v="37.362099999999998"/>
    <x v="0"/>
  </r>
  <r>
    <d v="2025-06-25T00:00:00"/>
    <x v="1"/>
    <s v="Lead Generation"/>
    <n v="13174.49"/>
    <n v="83"/>
    <n v="13"/>
    <n v="30223.63"/>
    <n v="15.662699999999999"/>
    <n v="1.2941"/>
    <x v="0"/>
  </r>
  <r>
    <d v="2025-11-20T00:00:00"/>
    <x v="0"/>
    <s v="Retargeting Campaign"/>
    <n v="4916.1000000000004"/>
    <n v="119"/>
    <n v="8"/>
    <n v="45957.8"/>
    <n v="6.7226999999999997"/>
    <n v="8.3483999999999998"/>
    <x v="0"/>
  </r>
  <r>
    <d v="2025-11-07T00:00:00"/>
    <x v="2"/>
    <s v="Lead Generation"/>
    <n v="3171.47"/>
    <n v="210"/>
    <n v="50"/>
    <n v="158017.19"/>
    <n v="23.8095"/>
    <n v="48.824599999999997"/>
    <x v="0"/>
  </r>
  <r>
    <d v="2025-06-01T00:00:00"/>
    <x v="2"/>
    <s v="Retargeting Campaign"/>
    <n v="11745.37"/>
    <n v="146"/>
    <n v="13"/>
    <n v="27305.71"/>
    <n v="8.9040999999999997"/>
    <n v="1.3248"/>
    <x v="0"/>
  </r>
  <r>
    <d v="2025-01-09T00:00:00"/>
    <x v="4"/>
    <s v="Retargeting Campaign"/>
    <n v="3702.83"/>
    <n v="70"/>
    <n v="19"/>
    <n v="50853.74"/>
    <n v="27.142900000000001"/>
    <n v="12.733700000000001"/>
    <x v="0"/>
  </r>
  <r>
    <d v="2025-05-14T00:00:00"/>
    <x v="3"/>
    <s v="Lead Generation"/>
    <n v="7323.57"/>
    <n v="66"/>
    <n v="8"/>
    <n v="33963.160000000003"/>
    <n v="12.1212"/>
    <n v="3.6375000000000002"/>
    <x v="0"/>
  </r>
  <r>
    <d v="2025-05-27T00:00:00"/>
    <x v="1"/>
    <s v="Lead Generation"/>
    <n v="14669.08"/>
    <n v="80"/>
    <n v="13"/>
    <n v="54725.4"/>
    <n v="16.25"/>
    <n v="2.7307000000000001"/>
    <x v="0"/>
  </r>
  <r>
    <d v="2025-09-26T00:00:00"/>
    <x v="4"/>
    <s v="Retargeting Campaign"/>
    <n v="7754.27"/>
    <n v="102"/>
    <n v="36"/>
    <n v="146614.5"/>
    <n v="35.2941"/>
    <n v="17.907599999999999"/>
    <x v="0"/>
  </r>
  <r>
    <d v="2025-12-21T00:00:00"/>
    <x v="4"/>
    <s v="Brand Awareness"/>
    <n v="8875.85"/>
    <n v="95"/>
    <n v="7"/>
    <n v="33514.99"/>
    <n v="7.3684000000000003"/>
    <n v="2.7759999999999998"/>
    <x v="0"/>
  </r>
  <r>
    <d v="2025-08-25T00:00:00"/>
    <x v="2"/>
    <s v="Retargeting Campaign"/>
    <n v="9506.52"/>
    <n v="178"/>
    <n v="60"/>
    <n v="210027.77"/>
    <n v="33.707900000000002"/>
    <n v="21.093"/>
    <x v="0"/>
  </r>
  <r>
    <d v="2025-07-23T00:00:00"/>
    <x v="1"/>
    <s v="Lead Generation"/>
    <n v="9183.44"/>
    <n v="122"/>
    <n v="31"/>
    <n v="58563.95"/>
    <n v="25.409800000000001"/>
    <n v="5.3771000000000004"/>
    <x v="0"/>
  </r>
  <r>
    <d v="2025-03-07T00:00:00"/>
    <x v="1"/>
    <s v="Lead Generation"/>
    <n v="12614.94"/>
    <n v="246"/>
    <n v="38"/>
    <n v="39043.980000000003"/>
    <n v="15.4472"/>
    <n v="2.0951"/>
    <x v="0"/>
  </r>
  <r>
    <d v="2025-11-16T00:00:00"/>
    <x v="2"/>
    <s v="New Product Launch"/>
    <n v="12603.99"/>
    <n v="198"/>
    <n v="23"/>
    <n v="123403.03"/>
    <n v="11.616199999999999"/>
    <n v="8.7908000000000008"/>
    <x v="0"/>
  </r>
  <r>
    <d v="2025-01-04T00:00:00"/>
    <x v="0"/>
    <s v="New Product Launch"/>
    <n v="14918.05"/>
    <n v="61"/>
    <n v="21"/>
    <n v="53221.54"/>
    <n v="34.426200000000001"/>
    <n v="2.5676000000000001"/>
    <x v="0"/>
  </r>
  <r>
    <d v="2025-02-15T00:00:00"/>
    <x v="0"/>
    <s v="Retargeting Campaign"/>
    <n v="11256.45"/>
    <n v="74"/>
    <n v="11"/>
    <n v="50123"/>
    <n v="14.8649"/>
    <n v="3.4527999999999999"/>
    <x v="0"/>
  </r>
  <r>
    <d v="2025-11-23T00:00:00"/>
    <x v="0"/>
    <s v="Brand Awareness"/>
    <n v="12860.1"/>
    <n v="168"/>
    <n v="37"/>
    <n v="173955.58"/>
    <n v="22.023800000000001"/>
    <n v="12.5268"/>
    <x v="0"/>
  </r>
  <r>
    <d v="2025-11-16T00:00:00"/>
    <x v="2"/>
    <s v="Brand Awareness"/>
    <n v="4660.42"/>
    <n v="250"/>
    <n v="57"/>
    <n v="173364.83"/>
    <n v="22.8"/>
    <n v="36.199399999999997"/>
    <x v="0"/>
  </r>
  <r>
    <d v="2025-09-23T00:00:00"/>
    <x v="2"/>
    <s v="Brand Awareness"/>
    <n v="6955.35"/>
    <n v="128"/>
    <n v="32"/>
    <n v="122422.76"/>
    <n v="25"/>
    <n v="16.601199999999999"/>
    <x v="0"/>
  </r>
  <r>
    <d v="2025-03-24T00:00:00"/>
    <x v="3"/>
    <s v="New Product Launch"/>
    <n v="7234.09"/>
    <n v="195"/>
    <n v="10"/>
    <n v="36532.01"/>
    <n v="5.1281999999999996"/>
    <n v="4.05"/>
    <x v="0"/>
  </r>
  <r>
    <d v="2025-01-13T00:00:00"/>
    <x v="1"/>
    <s v="New Product Launch"/>
    <n v="4165.7700000000004"/>
    <n v="178"/>
    <n v="30"/>
    <n v="136663.19"/>
    <n v="16.853899999999999"/>
    <n v="31.8062"/>
    <x v="0"/>
  </r>
  <r>
    <d v="2025-09-11T00:00:00"/>
    <x v="1"/>
    <s v="Festival Offer"/>
    <n v="11712.34"/>
    <n v="38"/>
    <n v="5"/>
    <n v="10974.73"/>
    <n v="13.1579"/>
    <n v="-6.3E-2"/>
    <x v="1"/>
  </r>
  <r>
    <d v="2025-09-11T00:00:00"/>
    <x v="2"/>
    <s v="Brand Awareness"/>
    <n v="13090.53"/>
    <n v="202"/>
    <n v="16"/>
    <n v="56544.52"/>
    <n v="7.9207999999999998"/>
    <n v="3.3195000000000001"/>
    <x v="0"/>
  </r>
  <r>
    <d v="2025-03-14T00:00:00"/>
    <x v="1"/>
    <s v="Festival Offer"/>
    <n v="12580.95"/>
    <n v="219"/>
    <n v="82"/>
    <n v="379383.14"/>
    <n v="37.442900000000002"/>
    <n v="29.1554"/>
    <x v="0"/>
  </r>
  <r>
    <d v="2025-05-05T00:00:00"/>
    <x v="3"/>
    <s v="Brand Awareness"/>
    <n v="3402.72"/>
    <n v="150"/>
    <n v="36"/>
    <n v="69044.210000000006"/>
    <n v="24"/>
    <n v="19.290900000000001"/>
    <x v="0"/>
  </r>
  <r>
    <d v="2025-04-09T00:00:00"/>
    <x v="4"/>
    <s v="Festival Offer"/>
    <n v="7311.28"/>
    <n v="37"/>
    <n v="14"/>
    <n v="74453.11"/>
    <n v="37.837800000000001"/>
    <n v="9.1832999999999991"/>
    <x v="0"/>
  </r>
  <r>
    <d v="2025-06-14T00:00:00"/>
    <x v="3"/>
    <s v="Festival Offer"/>
    <n v="4727.2700000000004"/>
    <n v="83"/>
    <n v="25"/>
    <n v="33774.97"/>
    <n v="30.1205"/>
    <n v="6.1447000000000003"/>
    <x v="0"/>
  </r>
  <r>
    <d v="2025-01-04T00:00:00"/>
    <x v="2"/>
    <s v="Brand Awareness"/>
    <n v="2240"/>
    <n v="188"/>
    <n v="49"/>
    <n v="274179.09000000003"/>
    <n v="26.063800000000001"/>
    <n v="121.4014"/>
    <x v="0"/>
  </r>
  <r>
    <d v="2025-09-16T00:00:00"/>
    <x v="1"/>
    <s v="Lead Generation"/>
    <n v="6088.48"/>
    <n v="235"/>
    <n v="43"/>
    <n v="84849.16"/>
    <n v="18.297899999999998"/>
    <n v="12.936"/>
    <x v="0"/>
  </r>
  <r>
    <d v="2025-10-19T00:00:00"/>
    <x v="4"/>
    <s v="New Product Launch"/>
    <n v="8797.43"/>
    <n v="49"/>
    <n v="1"/>
    <n v="1344.71"/>
    <n v="2.0407999999999999"/>
    <n v="-0.84709999999999996"/>
    <x v="1"/>
  </r>
  <r>
    <d v="2025-07-29T00:00:00"/>
    <x v="1"/>
    <s v="Retargeting Campaign"/>
    <n v="10495.44"/>
    <n v="195"/>
    <n v="9"/>
    <n v="44960.84"/>
    <n v="4.6154000000000002"/>
    <n v="3.2837999999999998"/>
    <x v="0"/>
  </r>
  <r>
    <d v="2025-07-04T00:00:00"/>
    <x v="0"/>
    <s v="Retargeting Campaign"/>
    <n v="13771.07"/>
    <n v="232"/>
    <n v="76"/>
    <n v="107776.26"/>
    <n v="32.758600000000001"/>
    <n v="6.8262999999999998"/>
    <x v="0"/>
  </r>
  <r>
    <d v="2025-02-08T00:00:00"/>
    <x v="4"/>
    <s v="Festival Offer"/>
    <n v="6820.52"/>
    <n v="140"/>
    <n v="41"/>
    <n v="183495.39"/>
    <n v="29.285699999999999"/>
    <n v="25.903400000000001"/>
    <x v="0"/>
  </r>
  <r>
    <d v="2025-07-17T00:00:00"/>
    <x v="0"/>
    <s v="Lead Generation"/>
    <n v="13679.63"/>
    <n v="57"/>
    <n v="14"/>
    <n v="76704.14"/>
    <n v="24.561399999999999"/>
    <n v="4.6071999999999997"/>
    <x v="0"/>
  </r>
  <r>
    <d v="2025-03-10T00:00:00"/>
    <x v="0"/>
    <s v="New Product Launch"/>
    <n v="12869.2"/>
    <n v="103"/>
    <n v="28"/>
    <n v="76793.990000000005"/>
    <n v="27.1845"/>
    <n v="4.9672999999999998"/>
    <x v="0"/>
  </r>
  <r>
    <d v="2025-07-31T00:00:00"/>
    <x v="2"/>
    <s v="New Product Launch"/>
    <n v="8715.43"/>
    <n v="240"/>
    <n v="85"/>
    <n v="397820.64"/>
    <n v="35.416699999999999"/>
    <n v="44.645600000000002"/>
    <x v="0"/>
  </r>
  <r>
    <d v="2025-06-20T00:00:00"/>
    <x v="3"/>
    <s v="Brand Awareness"/>
    <n v="12881.55"/>
    <n v="45"/>
    <n v="7"/>
    <n v="20637.59"/>
    <n v="15.5556"/>
    <n v="0.60209999999999997"/>
    <x v="0"/>
  </r>
  <r>
    <d v="2025-12-14T00:00:00"/>
    <x v="1"/>
    <s v="New Product Launch"/>
    <n v="1179.3399999999999"/>
    <n v="76"/>
    <n v="14"/>
    <n v="37030.6"/>
    <n v="18.421099999999999"/>
    <n v="30.3994"/>
    <x v="0"/>
  </r>
  <r>
    <d v="2025-11-01T00:00:00"/>
    <x v="4"/>
    <s v="Brand Awareness"/>
    <n v="4336.03"/>
    <n v="194"/>
    <n v="41"/>
    <n v="146332.25"/>
    <n v="21.134"/>
    <n v="32.747999999999998"/>
    <x v="0"/>
  </r>
  <r>
    <d v="2025-10-07T00:00:00"/>
    <x v="0"/>
    <s v="Lead Generation"/>
    <n v="9940.3799999999992"/>
    <n v="149"/>
    <n v="55"/>
    <n v="198989.98"/>
    <n v="36.912799999999997"/>
    <n v="19.0183"/>
    <x v="0"/>
  </r>
  <r>
    <d v="2025-06-08T00:00:00"/>
    <x v="0"/>
    <s v="Lead Generation"/>
    <n v="8012.52"/>
    <n v="249"/>
    <n v="95"/>
    <n v="438156.22"/>
    <n v="38.1526"/>
    <n v="53.683900000000001"/>
    <x v="0"/>
  </r>
  <r>
    <d v="2025-09-11T00:00:00"/>
    <x v="2"/>
    <s v="New Product Launch"/>
    <n v="13477.24"/>
    <n v="102"/>
    <n v="18"/>
    <n v="36147.870000000003"/>
    <n v="17.647099999999998"/>
    <n v="1.6820999999999999"/>
    <x v="0"/>
  </r>
  <r>
    <d v="2025-12-24T00:00:00"/>
    <x v="1"/>
    <s v="Lead Generation"/>
    <n v="11708.84"/>
    <n v="76"/>
    <n v="26"/>
    <n v="85651.45"/>
    <n v="34.210500000000003"/>
    <n v="6.3151000000000002"/>
    <x v="0"/>
  </r>
  <r>
    <d v="2025-06-21T00:00:00"/>
    <x v="4"/>
    <s v="Retargeting Campaign"/>
    <n v="6770.34"/>
    <n v="185"/>
    <n v="52"/>
    <n v="180774.31"/>
    <n v="28.1081"/>
    <n v="25.700900000000001"/>
    <x v="0"/>
  </r>
  <r>
    <d v="2025-01-22T00:00:00"/>
    <x v="4"/>
    <s v="Retargeting Campaign"/>
    <n v="10313.299999999999"/>
    <n v="193"/>
    <n v="28"/>
    <n v="46795.6"/>
    <n v="14.5078"/>
    <n v="3.5373999999999999"/>
    <x v="0"/>
  </r>
  <r>
    <d v="2025-07-12T00:00:00"/>
    <x v="0"/>
    <s v="Retargeting Campaign"/>
    <n v="9840.0400000000009"/>
    <n v="121"/>
    <n v="3"/>
    <n v="11173.5"/>
    <n v="2.4792999999999998"/>
    <n v="0.13550000000000001"/>
    <x v="0"/>
  </r>
  <r>
    <d v="2025-06-21T00:00:00"/>
    <x v="4"/>
    <s v="Festival Offer"/>
    <n v="8894.89"/>
    <n v="155"/>
    <n v="61"/>
    <n v="163288.62"/>
    <n v="39.354799999999997"/>
    <n v="17.357600000000001"/>
    <x v="0"/>
  </r>
  <r>
    <d v="2025-05-08T00:00:00"/>
    <x v="0"/>
    <s v="Retargeting Campaign"/>
    <n v="7013.1"/>
    <n v="182"/>
    <n v="61"/>
    <n v="108726.32"/>
    <n v="33.516500000000001"/>
    <n v="14.503299999999999"/>
    <x v="0"/>
  </r>
  <r>
    <d v="2025-05-09T00:00:00"/>
    <x v="3"/>
    <s v="Lead Generation"/>
    <n v="7288.37"/>
    <n v="94"/>
    <n v="25"/>
    <n v="37598.660000000003"/>
    <n v="26.595700000000001"/>
    <n v="4.1586999999999996"/>
    <x v="0"/>
  </r>
  <r>
    <d v="2025-01-20T00:00:00"/>
    <x v="3"/>
    <s v="Retargeting Campaign"/>
    <n v="10250.5"/>
    <n v="250"/>
    <n v="31"/>
    <n v="140021"/>
    <n v="12.4"/>
    <n v="12.6599"/>
    <x v="0"/>
  </r>
  <r>
    <d v="2025-03-24T00:00:00"/>
    <x v="1"/>
    <s v="Lead Generation"/>
    <n v="8710.83"/>
    <n v="102"/>
    <n v="6"/>
    <n v="25005.75"/>
    <n v="5.8823999999999996"/>
    <n v="1.8707"/>
    <x v="0"/>
  </r>
  <r>
    <d v="2025-05-22T00:00:00"/>
    <x v="1"/>
    <s v="Festival Offer"/>
    <n v="14047.4"/>
    <n v="171"/>
    <n v="47"/>
    <n v="133935.93"/>
    <n v="27.485399999999998"/>
    <n v="8.5345999999999993"/>
    <x v="0"/>
  </r>
  <r>
    <d v="2025-07-17T00:00:00"/>
    <x v="4"/>
    <s v="Festival Offer"/>
    <n v="2748.97"/>
    <n v="70"/>
    <n v="11"/>
    <n v="12760.5"/>
    <n v="15.7143"/>
    <n v="3.6419000000000001"/>
    <x v="0"/>
  </r>
  <r>
    <d v="2025-11-02T00:00:00"/>
    <x v="2"/>
    <s v="New Product Launch"/>
    <n v="14280.6"/>
    <n v="48"/>
    <n v="9"/>
    <n v="53853.760000000002"/>
    <n v="18.75"/>
    <n v="2.7711000000000001"/>
    <x v="0"/>
  </r>
  <r>
    <d v="2025-08-11T00:00:00"/>
    <x v="2"/>
    <s v="Lead Generation"/>
    <n v="13573.93"/>
    <n v="136"/>
    <n v="49"/>
    <n v="292418.53999999998"/>
    <n v="36.029400000000003"/>
    <n v="20.5427"/>
    <x v="0"/>
  </r>
  <r>
    <d v="2025-02-09T00:00:00"/>
    <x v="1"/>
    <s v="Lead Generation"/>
    <n v="14762.93"/>
    <n v="101"/>
    <n v="23"/>
    <n v="40710.239999999998"/>
    <n v="22.772300000000001"/>
    <n v="1.7576000000000001"/>
    <x v="0"/>
  </r>
  <r>
    <d v="2025-08-23T00:00:00"/>
    <x v="0"/>
    <s v="Lead Generation"/>
    <n v="12301.46"/>
    <n v="150"/>
    <n v="26"/>
    <n v="59823.6"/>
    <n v="17.333300000000001"/>
    <n v="3.8631000000000002"/>
    <x v="0"/>
  </r>
  <r>
    <d v="2025-03-19T00:00:00"/>
    <x v="1"/>
    <s v="Retargeting Campaign"/>
    <n v="2896.47"/>
    <n v="196"/>
    <n v="28"/>
    <n v="116451.83"/>
    <n v="14.2857"/>
    <n v="39.204700000000003"/>
    <x v="0"/>
  </r>
  <r>
    <d v="2025-10-27T00:00:00"/>
    <x v="0"/>
    <s v="Lead Generation"/>
    <n v="13145.15"/>
    <n v="241"/>
    <n v="9"/>
    <n v="41542.92"/>
    <n v="3.7343999999999999"/>
    <n v="2.1602999999999999"/>
    <x v="0"/>
  </r>
  <r>
    <d v="2025-09-24T00:00:00"/>
    <x v="4"/>
    <s v="Retargeting Campaign"/>
    <n v="10919.5"/>
    <n v="22"/>
    <n v="1"/>
    <n v="1266.82"/>
    <n v="4.5454999999999997"/>
    <n v="-0.88400000000000001"/>
    <x v="1"/>
  </r>
  <r>
    <d v="2025-11-04T00:00:00"/>
    <x v="1"/>
    <s v="New Product Launch"/>
    <n v="5223.63"/>
    <n v="217"/>
    <n v="65"/>
    <n v="115201.83"/>
    <n v="29.953900000000001"/>
    <n v="21.053999999999998"/>
    <x v="0"/>
  </r>
  <r>
    <d v="2025-04-27T00:00:00"/>
    <x v="3"/>
    <s v="Festival Offer"/>
    <n v="2470.7800000000002"/>
    <n v="171"/>
    <n v="54"/>
    <n v="243136.7"/>
    <n v="31.578900000000001"/>
    <n v="97.404799999999994"/>
    <x v="0"/>
  </r>
  <r>
    <d v="2025-08-29T00:00:00"/>
    <x v="2"/>
    <s v="Brand Awareness"/>
    <n v="7848.8"/>
    <n v="186"/>
    <n v="71"/>
    <n v="237426.82"/>
    <n v="38.171999999999997"/>
    <n v="29.2501"/>
    <x v="0"/>
  </r>
  <r>
    <d v="2025-06-21T00:00:00"/>
    <x v="1"/>
    <s v="New Product Launch"/>
    <n v="12937.26"/>
    <n v="71"/>
    <n v="27"/>
    <n v="66030.05"/>
    <n v="38.028199999999998"/>
    <n v="4.1039000000000003"/>
    <x v="0"/>
  </r>
  <r>
    <d v="2025-03-29T00:00:00"/>
    <x v="4"/>
    <s v="Retargeting Campaign"/>
    <n v="11187.82"/>
    <n v="113"/>
    <n v="1"/>
    <n v="4506.3500000000004"/>
    <n v="0.88500000000000001"/>
    <n v="-0.59719999999999995"/>
    <x v="1"/>
  </r>
  <r>
    <d v="2025-09-28T00:00:00"/>
    <x v="0"/>
    <s v="New Product Launch"/>
    <n v="14251.88"/>
    <n v="212"/>
    <n v="11"/>
    <n v="50834.09"/>
    <n v="5.1886999999999999"/>
    <n v="2.5668000000000002"/>
    <x v="0"/>
  </r>
  <r>
    <d v="2025-12-15T00:00:00"/>
    <x v="2"/>
    <s v="Lead Generation"/>
    <n v="11091.82"/>
    <n v="215"/>
    <n v="83"/>
    <n v="158375.65"/>
    <n v="38.604700000000001"/>
    <n v="13.278600000000001"/>
    <x v="0"/>
  </r>
  <r>
    <d v="2025-05-16T00:00:00"/>
    <x v="4"/>
    <s v="Retargeting Campaign"/>
    <n v="12722.48"/>
    <n v="166"/>
    <n v="35"/>
    <n v="122986.73"/>
    <n v="21.084299999999999"/>
    <n v="8.6669"/>
    <x v="0"/>
  </r>
  <r>
    <d v="2025-02-04T00:00:00"/>
    <x v="4"/>
    <s v="Festival Offer"/>
    <n v="11709.01"/>
    <n v="36"/>
    <n v="5"/>
    <n v="8052.41"/>
    <n v="13.8889"/>
    <n v="-0.31230000000000002"/>
    <x v="1"/>
  </r>
  <r>
    <d v="2025-11-26T00:00:00"/>
    <x v="0"/>
    <s v="Festival Offer"/>
    <n v="2714.06"/>
    <n v="90"/>
    <n v="8"/>
    <n v="33658.33"/>
    <n v="8.8888999999999996"/>
    <n v="11.4015"/>
    <x v="0"/>
  </r>
  <r>
    <d v="2025-07-24T00:00:00"/>
    <x v="4"/>
    <s v="Festival Offer"/>
    <n v="5943.41"/>
    <n v="67"/>
    <n v="16"/>
    <n v="90168.18"/>
    <n v="23.880600000000001"/>
    <n v="14.171099999999999"/>
    <x v="0"/>
  </r>
  <r>
    <d v="2025-04-26T00:00:00"/>
    <x v="1"/>
    <s v="New Product Launch"/>
    <n v="9911.2999999999993"/>
    <n v="132"/>
    <n v="16"/>
    <n v="28058.63"/>
    <n v="12.1212"/>
    <n v="1.831"/>
    <x v="0"/>
  </r>
  <r>
    <d v="2025-09-04T00:00:00"/>
    <x v="1"/>
    <s v="Retargeting Campaign"/>
    <n v="14659.93"/>
    <n v="81"/>
    <n v="9"/>
    <n v="42596.84"/>
    <n v="11.1111"/>
    <n v="1.9056999999999999"/>
    <x v="0"/>
  </r>
  <r>
    <d v="2025-09-11T00:00:00"/>
    <x v="1"/>
    <s v="Retargeting Campaign"/>
    <n v="3828.66"/>
    <n v="195"/>
    <n v="47"/>
    <n v="261636"/>
    <n v="24.102599999999999"/>
    <n v="67.336200000000005"/>
    <x v="0"/>
  </r>
  <r>
    <d v="2025-09-12T00:00:00"/>
    <x v="3"/>
    <s v="Retargeting Campaign"/>
    <n v="9866.94"/>
    <n v="115"/>
    <n v="16"/>
    <n v="26663.17"/>
    <n v="13.913"/>
    <n v="1.7022999999999999"/>
    <x v="0"/>
  </r>
  <r>
    <d v="2025-03-13T00:00:00"/>
    <x v="2"/>
    <s v="Brand Awareness"/>
    <n v="8204.4"/>
    <n v="239"/>
    <n v="59"/>
    <n v="238348.26"/>
    <n v="24.686199999999999"/>
    <n v="28.051300000000001"/>
    <x v="0"/>
  </r>
  <r>
    <d v="2025-04-01T00:00:00"/>
    <x v="3"/>
    <s v="Festival Offer"/>
    <n v="10959.95"/>
    <n v="178"/>
    <n v="24"/>
    <n v="116366.46"/>
    <n v="13.4831"/>
    <n v="9.6173999999999999"/>
    <x v="0"/>
  </r>
  <r>
    <d v="2025-07-13T00:00:00"/>
    <x v="0"/>
    <s v="Brand Awareness"/>
    <n v="5272.56"/>
    <n v="157"/>
    <n v="36"/>
    <n v="93600.2"/>
    <n v="22.9299"/>
    <n v="16.752300000000002"/>
    <x v="0"/>
  </r>
  <r>
    <d v="2025-07-26T00:00:00"/>
    <x v="4"/>
    <s v="Brand Awareness"/>
    <n v="3802.07"/>
    <n v="45"/>
    <n v="15"/>
    <n v="83638.31"/>
    <n v="33.333300000000001"/>
    <n v="20.998100000000001"/>
    <x v="0"/>
  </r>
  <r>
    <d v="2025-01-08T00:00:00"/>
    <x v="2"/>
    <s v="Lead Generation"/>
    <n v="7716.73"/>
    <n v="208"/>
    <n v="75"/>
    <n v="156851.38"/>
    <n v="36.057699999999997"/>
    <n v="19.3261"/>
    <x v="0"/>
  </r>
  <r>
    <d v="2025-03-06T00:00:00"/>
    <x v="4"/>
    <s v="New Product Launch"/>
    <n v="5439.36"/>
    <n v="74"/>
    <n v="12"/>
    <n v="67803.88"/>
    <n v="16.216200000000001"/>
    <n v="11.465400000000001"/>
    <x v="0"/>
  </r>
  <r>
    <d v="2025-08-27T00:00:00"/>
    <x v="0"/>
    <s v="Festival Offer"/>
    <n v="8355.83"/>
    <n v="34"/>
    <n v="5"/>
    <n v="12038.85"/>
    <n v="14.7059"/>
    <n v="0.44080000000000003"/>
    <x v="0"/>
  </r>
  <r>
    <d v="2025-01-15T00:00:00"/>
    <x v="2"/>
    <s v="Brand Awareness"/>
    <n v="1199.9000000000001"/>
    <n v="122"/>
    <n v="32"/>
    <n v="157011.60999999999"/>
    <n v="26.229500000000002"/>
    <n v="129.85390000000001"/>
    <x v="0"/>
  </r>
  <r>
    <d v="2025-04-30T00:00:00"/>
    <x v="2"/>
    <s v="Festival Offer"/>
    <n v="2653.17"/>
    <n v="162"/>
    <n v="18"/>
    <n v="42708.37"/>
    <n v="11.1111"/>
    <n v="15.097099999999999"/>
    <x v="0"/>
  </r>
  <r>
    <d v="2025-10-17T00:00:00"/>
    <x v="4"/>
    <s v="Festival Offer"/>
    <n v="9159.1299999999992"/>
    <n v="45"/>
    <n v="14"/>
    <n v="36163.199999999997"/>
    <n v="31.1111"/>
    <n v="2.9483000000000001"/>
    <x v="0"/>
  </r>
  <r>
    <d v="2025-11-07T00:00:00"/>
    <x v="4"/>
    <s v="Brand Awareness"/>
    <n v="3476.94"/>
    <n v="181"/>
    <n v="29"/>
    <n v="29199.200000000001"/>
    <n v="16.022099999999998"/>
    <n v="7.3979999999999997"/>
    <x v="0"/>
  </r>
  <r>
    <d v="2025-08-14T00:00:00"/>
    <x v="2"/>
    <s v="New Product Launch"/>
    <n v="1144.23"/>
    <n v="204"/>
    <n v="75"/>
    <n v="188771.03"/>
    <n v="36.764699999999998"/>
    <n v="163.97649999999999"/>
    <x v="0"/>
  </r>
  <r>
    <d v="2025-06-18T00:00:00"/>
    <x v="1"/>
    <s v="New Product Launch"/>
    <n v="4711.96"/>
    <n v="130"/>
    <n v="37"/>
    <n v="185544.04"/>
    <n v="28.461500000000001"/>
    <n v="38.377299999999998"/>
    <x v="0"/>
  </r>
  <r>
    <d v="2025-07-28T00:00:00"/>
    <x v="0"/>
    <s v="Retargeting Campaign"/>
    <n v="2273.17"/>
    <n v="185"/>
    <n v="60"/>
    <n v="82352.66"/>
    <n v="32.432400000000001"/>
    <n v="35.228099999999998"/>
    <x v="0"/>
  </r>
  <r>
    <d v="2025-12-11T00:00:00"/>
    <x v="4"/>
    <s v="Retargeting Campaign"/>
    <n v="10639.37"/>
    <n v="39"/>
    <n v="7"/>
    <n v="17270.8"/>
    <n v="17.948699999999999"/>
    <n v="0.62329999999999997"/>
    <x v="0"/>
  </r>
  <r>
    <d v="2025-08-25T00:00:00"/>
    <x v="1"/>
    <s v="Retargeting Campaign"/>
    <n v="8680.41"/>
    <n v="46"/>
    <n v="1"/>
    <n v="3864.96"/>
    <n v="2.1739000000000002"/>
    <n v="-0.55469999999999997"/>
    <x v="1"/>
  </r>
  <r>
    <d v="2025-03-05T00:00:00"/>
    <x v="3"/>
    <s v="Brand Awareness"/>
    <n v="2744.77"/>
    <n v="69"/>
    <n v="13"/>
    <n v="24425.62"/>
    <n v="18.840599999999998"/>
    <n v="7.899"/>
    <x v="0"/>
  </r>
  <r>
    <d v="2025-04-09T00:00:00"/>
    <x v="3"/>
    <s v="Retargeting Campaign"/>
    <n v="4777.1899999999996"/>
    <n v="41"/>
    <n v="5"/>
    <n v="25837.75"/>
    <n v="12.1951"/>
    <n v="4.4085999999999999"/>
    <x v="0"/>
  </r>
  <r>
    <d v="2025-07-06T00:00:00"/>
    <x v="3"/>
    <s v="Lead Generation"/>
    <n v="12200.67"/>
    <n v="201"/>
    <n v="25"/>
    <n v="95814.5"/>
    <n v="12.437799999999999"/>
    <n v="6.8532000000000002"/>
    <x v="0"/>
  </r>
  <r>
    <d v="2025-08-30T00:00:00"/>
    <x v="2"/>
    <s v="Retargeting Campaign"/>
    <n v="9236.4"/>
    <n v="120"/>
    <n v="18"/>
    <n v="21895.4"/>
    <n v="15"/>
    <n v="1.3706"/>
    <x v="0"/>
  </r>
  <r>
    <d v="2025-10-10T00:00:00"/>
    <x v="3"/>
    <s v="Lead Generation"/>
    <n v="12737.19"/>
    <n v="213"/>
    <n v="35"/>
    <n v="39885.730000000003"/>
    <n v="16.431899999999999"/>
    <n v="2.1314000000000002"/>
    <x v="0"/>
  </r>
  <r>
    <d v="2025-06-20T00:00:00"/>
    <x v="2"/>
    <s v="Brand Awareness"/>
    <n v="7445.2"/>
    <n v="147"/>
    <n v="42"/>
    <n v="228321.41"/>
    <n v="28.571400000000001"/>
    <n v="29.666899999999998"/>
    <x v="0"/>
  </r>
  <r>
    <d v="2025-09-22T00:00:00"/>
    <x v="0"/>
    <s v="New Product Launch"/>
    <n v="10690.16"/>
    <n v="162"/>
    <n v="45"/>
    <n v="67653.62"/>
    <n v="27.777799999999999"/>
    <n v="5.3285999999999998"/>
    <x v="0"/>
  </r>
  <r>
    <d v="2025-09-28T00:00:00"/>
    <x v="3"/>
    <s v="Retargeting Campaign"/>
    <n v="1332.25"/>
    <n v="145"/>
    <n v="1"/>
    <n v="3780.11"/>
    <n v="0.68969999999999998"/>
    <n v="1.8373999999999999"/>
    <x v="0"/>
  </r>
  <r>
    <d v="2025-05-10T00:00:00"/>
    <x v="1"/>
    <s v="New Product Launch"/>
    <n v="4940.8599999999997"/>
    <n v="232"/>
    <n v="81"/>
    <n v="315534.53000000003"/>
    <n v="34.913800000000002"/>
    <n v="62.862299999999998"/>
    <x v="0"/>
  </r>
  <r>
    <d v="2025-07-30T00:00:00"/>
    <x v="0"/>
    <s v="Festival Offer"/>
    <n v="7710.38"/>
    <n v="159"/>
    <n v="40"/>
    <n v="90405.99"/>
    <n v="25.1572"/>
    <n v="10.725199999999999"/>
    <x v="0"/>
  </r>
  <r>
    <d v="2025-06-03T00:00:00"/>
    <x v="3"/>
    <s v="Lead Generation"/>
    <n v="11215.94"/>
    <n v="246"/>
    <n v="16"/>
    <n v="33986.29"/>
    <n v="6.5041000000000002"/>
    <n v="2.0301999999999998"/>
    <x v="0"/>
  </r>
  <r>
    <d v="2025-12-07T00:00:00"/>
    <x v="0"/>
    <s v="New Product Launch"/>
    <n v="4832.43"/>
    <n v="102"/>
    <n v="33"/>
    <n v="39597.82"/>
    <n v="32.352899999999998"/>
    <n v="7.1942000000000004"/>
    <x v="0"/>
  </r>
  <r>
    <d v="2025-06-29T00:00:00"/>
    <x v="1"/>
    <s v="Festival Offer"/>
    <n v="3610.58"/>
    <n v="224"/>
    <n v="64"/>
    <n v="242020.76"/>
    <n v="28.571400000000001"/>
    <n v="66.031000000000006"/>
    <x v="0"/>
  </r>
  <r>
    <d v="2025-04-30T00:00:00"/>
    <x v="1"/>
    <s v="Brand Awareness"/>
    <n v="13254.2"/>
    <n v="197"/>
    <n v="36"/>
    <n v="163203.74"/>
    <n v="18.274100000000001"/>
    <n v="11.3134"/>
    <x v="0"/>
  </r>
  <r>
    <d v="2025-09-01T00:00:00"/>
    <x v="0"/>
    <s v="New Product Launch"/>
    <n v="14942.42"/>
    <n v="125"/>
    <n v="42"/>
    <n v="86693.19"/>
    <n v="33.6"/>
    <n v="4.8018000000000001"/>
    <x v="0"/>
  </r>
  <r>
    <d v="2025-04-06T00:00:00"/>
    <x v="3"/>
    <s v="Brand Awareness"/>
    <n v="10535.72"/>
    <n v="162"/>
    <n v="56"/>
    <n v="168606.51"/>
    <n v="34.567900000000002"/>
    <n v="15.003299999999999"/>
    <x v="0"/>
  </r>
  <r>
    <d v="2025-06-19T00:00:00"/>
    <x v="1"/>
    <s v="New Product Launch"/>
    <n v="14751.71"/>
    <n v="219"/>
    <n v="12"/>
    <n v="53555.7"/>
    <n v="5.4794999999999998"/>
    <n v="2.6305000000000001"/>
    <x v="0"/>
  </r>
  <r>
    <d v="2025-05-08T00:00:00"/>
    <x v="3"/>
    <s v="Brand Awareness"/>
    <n v="5951.95"/>
    <n v="118"/>
    <n v="4"/>
    <n v="6169.21"/>
    <n v="3.3898000000000001"/>
    <n v="3.6499999999999998E-2"/>
    <x v="0"/>
  </r>
  <r>
    <d v="2025-07-31T00:00:00"/>
    <x v="2"/>
    <s v="Festival Offer"/>
    <n v="13275.38"/>
    <n v="135"/>
    <n v="6"/>
    <n v="25572.12"/>
    <n v="4.4443999999999999"/>
    <n v="0.92630000000000001"/>
    <x v="0"/>
  </r>
  <r>
    <d v="2025-10-09T00:00:00"/>
    <x v="3"/>
    <s v="Retargeting Campaign"/>
    <n v="12369.53"/>
    <n v="202"/>
    <n v="66"/>
    <n v="134214.5"/>
    <n v="32.673299999999998"/>
    <n v="9.8504000000000005"/>
    <x v="0"/>
  </r>
  <r>
    <d v="2025-12-10T00:00:00"/>
    <x v="0"/>
    <s v="Brand Awareness"/>
    <n v="4602.25"/>
    <n v="204"/>
    <n v="36"/>
    <n v="109181.36"/>
    <n v="17.647099999999998"/>
    <n v="22.723500000000001"/>
    <x v="0"/>
  </r>
  <r>
    <d v="2025-08-19T00:00:00"/>
    <x v="4"/>
    <s v="New Product Launch"/>
    <n v="7973.72"/>
    <n v="105"/>
    <n v="33"/>
    <n v="115326.72"/>
    <n v="31.428599999999999"/>
    <n v="13.4634"/>
    <x v="0"/>
  </r>
  <r>
    <d v="2025-08-08T00:00:00"/>
    <x v="1"/>
    <s v="Retargeting Campaign"/>
    <n v="3848.03"/>
    <n v="123"/>
    <n v="37"/>
    <n v="42447.87"/>
    <n v="30.081299999999999"/>
    <n v="10.0311"/>
    <x v="0"/>
  </r>
  <r>
    <d v="2025-09-27T00:00:00"/>
    <x v="4"/>
    <s v="Festival Offer"/>
    <n v="13919"/>
    <n v="188"/>
    <n v="30"/>
    <n v="33382.32"/>
    <n v="15.9574"/>
    <n v="1.3983000000000001"/>
    <x v="0"/>
  </r>
  <r>
    <d v="2025-01-17T00:00:00"/>
    <x v="1"/>
    <s v="New Product Launch"/>
    <n v="12346.85"/>
    <n v="101"/>
    <n v="17"/>
    <n v="72661.039999999994"/>
    <n v="16.831700000000001"/>
    <n v="4.8849999999999998"/>
    <x v="0"/>
  </r>
  <r>
    <d v="2025-02-28T00:00:00"/>
    <x v="3"/>
    <s v="Lead Generation"/>
    <n v="13684.82"/>
    <n v="199"/>
    <n v="8"/>
    <n v="24666.93"/>
    <n v="4.0201000000000002"/>
    <n v="0.80249999999999999"/>
    <x v="0"/>
  </r>
  <r>
    <d v="2025-10-24T00:00:00"/>
    <x v="2"/>
    <s v="Festival Offer"/>
    <n v="11702.11"/>
    <n v="36"/>
    <n v="10"/>
    <n v="17866.7"/>
    <n v="27.777799999999999"/>
    <n v="0.52680000000000005"/>
    <x v="0"/>
  </r>
  <r>
    <d v="2025-05-05T00:00:00"/>
    <x v="1"/>
    <s v="Lead Generation"/>
    <n v="14569.78"/>
    <n v="41"/>
    <n v="9"/>
    <n v="45150.31"/>
    <n v="21.9512"/>
    <n v="2.0989"/>
    <x v="0"/>
  </r>
  <r>
    <d v="2025-08-18T00:00:00"/>
    <x v="2"/>
    <s v="Lead Generation"/>
    <n v="14778.45"/>
    <n v="235"/>
    <n v="29"/>
    <n v="158956.07"/>
    <n v="12.340400000000001"/>
    <n v="9.7559000000000005"/>
    <x v="0"/>
  </r>
  <r>
    <d v="2025-06-07T00:00:00"/>
    <x v="0"/>
    <s v="Brand Awareness"/>
    <n v="7135.96"/>
    <n v="94"/>
    <n v="8"/>
    <n v="25856.12"/>
    <n v="8.5106000000000002"/>
    <n v="2.6234000000000002"/>
    <x v="0"/>
  </r>
  <r>
    <d v="2025-06-15T00:00:00"/>
    <x v="2"/>
    <s v="Retargeting Campaign"/>
    <n v="11951.85"/>
    <n v="193"/>
    <n v="5"/>
    <n v="6050.29"/>
    <n v="2.5907"/>
    <n v="-0.49380000000000002"/>
    <x v="1"/>
  </r>
  <r>
    <d v="2025-05-28T00:00:00"/>
    <x v="1"/>
    <s v="Festival Offer"/>
    <n v="8635.4599999999991"/>
    <n v="115"/>
    <n v="18"/>
    <n v="81866.94"/>
    <n v="15.652200000000001"/>
    <n v="8.4802999999999997"/>
    <x v="0"/>
  </r>
  <r>
    <d v="2025-05-27T00:00:00"/>
    <x v="4"/>
    <s v="Lead Generation"/>
    <n v="5506.23"/>
    <n v="166"/>
    <n v="16"/>
    <n v="49796.91"/>
    <n v="9.6386000000000003"/>
    <n v="8.0436999999999994"/>
    <x v="0"/>
  </r>
  <r>
    <d v="2025-02-17T00:00:00"/>
    <x v="2"/>
    <s v="Retargeting Campaign"/>
    <n v="1141.71"/>
    <n v="225"/>
    <n v="87"/>
    <n v="346787.84000000003"/>
    <n v="38.666699999999999"/>
    <n v="302.74419999999998"/>
    <x v="0"/>
  </r>
  <r>
    <d v="2025-06-22T00:00:00"/>
    <x v="0"/>
    <s v="Retargeting Campaign"/>
    <n v="11382.12"/>
    <n v="98"/>
    <n v="39"/>
    <n v="80583.600000000006"/>
    <n v="39.795900000000003"/>
    <n v="6.0797999999999996"/>
    <x v="0"/>
  </r>
  <r>
    <d v="2025-12-10T00:00:00"/>
    <x v="2"/>
    <s v="New Product Launch"/>
    <n v="7185.24"/>
    <n v="181"/>
    <n v="49"/>
    <n v="275490.95"/>
    <n v="27.0718"/>
    <n v="37.341200000000001"/>
    <x v="0"/>
  </r>
  <r>
    <d v="2025-08-22T00:00:00"/>
    <x v="3"/>
    <s v="Lead Generation"/>
    <n v="5955.78"/>
    <n v="42"/>
    <n v="16"/>
    <n v="64130.85"/>
    <n v="38.095199999999998"/>
    <n v="9.7677999999999994"/>
    <x v="0"/>
  </r>
  <r>
    <d v="2025-04-25T00:00:00"/>
    <x v="1"/>
    <s v="Festival Offer"/>
    <n v="14726.83"/>
    <n v="203"/>
    <n v="13"/>
    <n v="31339.86"/>
    <n v="6.4039000000000001"/>
    <n v="1.1281000000000001"/>
    <x v="0"/>
  </r>
  <r>
    <d v="2025-03-19T00:00:00"/>
    <x v="4"/>
    <s v="Brand Awareness"/>
    <n v="1008.95"/>
    <n v="170"/>
    <n v="56"/>
    <n v="76066.759999999995"/>
    <n v="32.941200000000002"/>
    <n v="74.391999999999996"/>
    <x v="0"/>
  </r>
  <r>
    <d v="2025-12-15T00:00:00"/>
    <x v="4"/>
    <s v="Retargeting Campaign"/>
    <n v="4857.41"/>
    <n v="115"/>
    <n v="16"/>
    <n v="55436.66"/>
    <n v="13.913"/>
    <n v="10.412800000000001"/>
    <x v="0"/>
  </r>
  <r>
    <d v="2025-10-21T00:00:00"/>
    <x v="4"/>
    <s v="Festival Offer"/>
    <n v="1908.67"/>
    <n v="250"/>
    <n v="92"/>
    <n v="198810.98"/>
    <n v="36.799999999999997"/>
    <n v="103.1621"/>
    <x v="0"/>
  </r>
  <r>
    <d v="2025-04-02T00:00:00"/>
    <x v="4"/>
    <s v="Festival Offer"/>
    <n v="13290.89"/>
    <n v="165"/>
    <n v="46"/>
    <n v="138937.59"/>
    <n v="27.878799999999998"/>
    <n v="9.4535999999999998"/>
    <x v="0"/>
  </r>
  <r>
    <d v="2025-04-05T00:00:00"/>
    <x v="0"/>
    <s v="Lead Generation"/>
    <n v="13210.3"/>
    <n v="209"/>
    <n v="34"/>
    <n v="59286.81"/>
    <n v="16.267900000000001"/>
    <n v="3.4878999999999998"/>
    <x v="0"/>
  </r>
  <r>
    <d v="2025-08-02T00:00:00"/>
    <x v="3"/>
    <s v="Retargeting Campaign"/>
    <n v="8392.66"/>
    <n v="112"/>
    <n v="39"/>
    <n v="195618.28"/>
    <n v="34.821399999999997"/>
    <n v="22.308299999999999"/>
    <x v="0"/>
  </r>
  <r>
    <d v="2025-07-27T00:00:00"/>
    <x v="1"/>
    <s v="Retargeting Campaign"/>
    <n v="9453.83"/>
    <n v="44"/>
    <n v="1"/>
    <n v="5508.66"/>
    <n v="2.2726999999999999"/>
    <n v="-0.4173"/>
    <x v="1"/>
  </r>
  <r>
    <d v="2025-12-11T00:00:00"/>
    <x v="4"/>
    <s v="Lead Generation"/>
    <n v="13400.57"/>
    <n v="174"/>
    <n v="50"/>
    <n v="143150.07999999999"/>
    <n v="28.735600000000002"/>
    <n v="9.6823999999999995"/>
    <x v="0"/>
  </r>
  <r>
    <d v="2025-09-19T00:00:00"/>
    <x v="0"/>
    <s v="New Product Launch"/>
    <n v="5489.86"/>
    <n v="247"/>
    <n v="17"/>
    <n v="84438.44"/>
    <n v="6.8826000000000001"/>
    <n v="14.380800000000001"/>
    <x v="0"/>
  </r>
  <r>
    <d v="2025-12-26T00:00:00"/>
    <x v="4"/>
    <s v="Festival Offer"/>
    <n v="10329.76"/>
    <n v="33"/>
    <n v="5"/>
    <n v="29266.7"/>
    <n v="15.1515"/>
    <n v="1.8331999999999999"/>
    <x v="0"/>
  </r>
  <r>
    <d v="2025-06-15T00:00:00"/>
    <x v="0"/>
    <s v="New Product Launch"/>
    <n v="4832.18"/>
    <n v="211"/>
    <n v="15"/>
    <n v="66128.11"/>
    <n v="7.109"/>
    <n v="12.684900000000001"/>
    <x v="0"/>
  </r>
  <r>
    <d v="2025-11-07T00:00:00"/>
    <x v="4"/>
    <s v="Lead Generation"/>
    <n v="8613.24"/>
    <n v="217"/>
    <n v="86"/>
    <n v="191407.64"/>
    <n v="39.631300000000003"/>
    <n v="21.2225"/>
    <x v="0"/>
  </r>
  <r>
    <d v="2025-05-12T00:00:00"/>
    <x v="4"/>
    <s v="New Product Launch"/>
    <n v="14740.1"/>
    <n v="167"/>
    <n v="50"/>
    <n v="201784.87"/>
    <n v="29.940100000000001"/>
    <n v="12.689500000000001"/>
    <x v="0"/>
  </r>
  <r>
    <d v="2025-05-03T00:00:00"/>
    <x v="3"/>
    <s v="Festival Offer"/>
    <n v="3849.05"/>
    <n v="53"/>
    <n v="7"/>
    <n v="23428.6"/>
    <n v="13.2075"/>
    <n v="5.0869"/>
    <x v="0"/>
  </r>
  <r>
    <d v="2025-07-13T00:00:00"/>
    <x v="4"/>
    <s v="New Product Launch"/>
    <n v="2971.05"/>
    <n v="168"/>
    <n v="3"/>
    <n v="6018.75"/>
    <n v="1.7857000000000001"/>
    <n v="1.0258"/>
    <x v="0"/>
  </r>
  <r>
    <d v="2025-02-12T00:00:00"/>
    <x v="4"/>
    <s v="Festival Offer"/>
    <n v="5784.57"/>
    <n v="90"/>
    <n v="26"/>
    <n v="127735.75"/>
    <n v="28.8889"/>
    <n v="21.0822"/>
    <x v="0"/>
  </r>
  <r>
    <d v="2025-10-06T00:00:00"/>
    <x v="3"/>
    <s v="Festival Offer"/>
    <n v="13459.25"/>
    <n v="59"/>
    <n v="20"/>
    <n v="34758.86"/>
    <n v="33.898299999999999"/>
    <n v="1.5825"/>
    <x v="0"/>
  </r>
  <r>
    <d v="2025-12-30T00:00:00"/>
    <x v="3"/>
    <s v="Lead Generation"/>
    <n v="6890.17"/>
    <n v="171"/>
    <n v="49"/>
    <n v="122470.07"/>
    <n v="28.655000000000001"/>
    <n v="16.7746"/>
    <x v="0"/>
  </r>
  <r>
    <d v="2025-02-11T00:00:00"/>
    <x v="2"/>
    <s v="Lead Generation"/>
    <n v="6598.98"/>
    <n v="158"/>
    <n v="45"/>
    <n v="126437.99"/>
    <n v="28.481000000000002"/>
    <n v="18.1602"/>
    <x v="0"/>
  </r>
  <r>
    <d v="2025-05-14T00:00:00"/>
    <x v="0"/>
    <s v="Brand Awareness"/>
    <n v="7710.12"/>
    <n v="231"/>
    <n v="24"/>
    <n v="108127.5"/>
    <n v="10.3896"/>
    <n v="13.024100000000001"/>
    <x v="0"/>
  </r>
  <r>
    <d v="2025-02-15T00:00:00"/>
    <x v="1"/>
    <s v="Festival Offer"/>
    <n v="3291.72"/>
    <n v="66"/>
    <n v="14"/>
    <n v="78432.479999999996"/>
    <n v="21.2121"/>
    <n v="22.827200000000001"/>
    <x v="0"/>
  </r>
  <r>
    <d v="2025-02-03T00:00:00"/>
    <x v="2"/>
    <s v="Festival Offer"/>
    <n v="2901.71"/>
    <n v="201"/>
    <n v="50"/>
    <n v="233656.7"/>
    <n v="24.875599999999999"/>
    <n v="79.523799999999994"/>
    <x v="0"/>
  </r>
  <r>
    <d v="2025-04-28T00:00:00"/>
    <x v="0"/>
    <s v="Lead Generation"/>
    <n v="14853.19"/>
    <n v="157"/>
    <n v="11"/>
    <n v="21228.74"/>
    <n v="7.0064000000000002"/>
    <n v="0.42920000000000003"/>
    <x v="0"/>
  </r>
  <r>
    <d v="2025-08-28T00:00:00"/>
    <x v="3"/>
    <s v="Festival Offer"/>
    <n v="4888.84"/>
    <n v="225"/>
    <n v="1"/>
    <n v="4301.33"/>
    <n v="0.44440000000000002"/>
    <n v="-0.1202"/>
    <x v="1"/>
  </r>
  <r>
    <d v="2025-01-04T00:00:00"/>
    <x v="2"/>
    <s v="Festival Offer"/>
    <n v="6005.19"/>
    <n v="165"/>
    <n v="8"/>
    <n v="34158.379999999997"/>
    <n v="4.8484999999999996"/>
    <n v="4.6881000000000004"/>
    <x v="0"/>
  </r>
  <r>
    <d v="2025-10-24T00:00:00"/>
    <x v="3"/>
    <s v="Brand Awareness"/>
    <n v="10719.08"/>
    <n v="192"/>
    <n v="74"/>
    <n v="177493.68"/>
    <n v="38.541699999999999"/>
    <n v="15.5587"/>
    <x v="0"/>
  </r>
  <r>
    <d v="2025-06-22T00:00:00"/>
    <x v="0"/>
    <s v="Lead Generation"/>
    <n v="1635.66"/>
    <n v="145"/>
    <n v="22"/>
    <n v="72974.03"/>
    <n v="15.1724"/>
    <n v="43.614400000000003"/>
    <x v="0"/>
  </r>
  <r>
    <d v="2025-08-14T00:00:00"/>
    <x v="2"/>
    <s v="New Product Launch"/>
    <n v="5986.22"/>
    <n v="83"/>
    <n v="7"/>
    <n v="31039.49"/>
    <n v="8.4337"/>
    <n v="4.1852"/>
    <x v="0"/>
  </r>
  <r>
    <d v="2025-08-23T00:00:00"/>
    <x v="1"/>
    <s v="Lead Generation"/>
    <n v="2018.9"/>
    <n v="240"/>
    <n v="96"/>
    <n v="161637.99"/>
    <n v="40"/>
    <n v="79.062399999999997"/>
    <x v="0"/>
  </r>
  <r>
    <d v="2025-02-23T00:00:00"/>
    <x v="3"/>
    <s v="Brand Awareness"/>
    <n v="11148.95"/>
    <n v="124"/>
    <n v="43"/>
    <n v="180630"/>
    <n v="34.677399999999999"/>
    <n v="15.201499999999999"/>
    <x v="0"/>
  </r>
  <r>
    <d v="2025-05-02T00:00:00"/>
    <x v="0"/>
    <s v="Retargeting Campaign"/>
    <n v="3078.55"/>
    <n v="225"/>
    <n v="16"/>
    <n v="74040.06"/>
    <n v="7.1111000000000004"/>
    <n v="23.0503"/>
    <x v="0"/>
  </r>
  <r>
    <d v="2025-03-09T00:00:00"/>
    <x v="1"/>
    <s v="Retargeting Campaign"/>
    <n v="9058.14"/>
    <n v="221"/>
    <n v="36"/>
    <n v="155804.51999999999"/>
    <n v="16.2896"/>
    <n v="16.200500000000002"/>
    <x v="0"/>
  </r>
  <r>
    <d v="2025-08-19T00:00:00"/>
    <x v="2"/>
    <s v="Retargeting Campaign"/>
    <n v="12415.96"/>
    <n v="93"/>
    <n v="24"/>
    <n v="71881.490000000005"/>
    <n v="25.8065"/>
    <n v="4.7893999999999997"/>
    <x v="0"/>
  </r>
  <r>
    <d v="2025-07-09T00:00:00"/>
    <x v="1"/>
    <s v="Lead Generation"/>
    <n v="10894.28"/>
    <n v="158"/>
    <n v="7"/>
    <n v="40100.769999999997"/>
    <n v="4.4303999999999997"/>
    <n v="2.6808999999999998"/>
    <x v="0"/>
  </r>
  <r>
    <d v="2025-05-19T00:00:00"/>
    <x v="2"/>
    <s v="Festival Offer"/>
    <n v="9491.76"/>
    <n v="168"/>
    <n v="2"/>
    <n v="9185.68"/>
    <n v="1.1904999999999999"/>
    <n v="-3.2199999999999999E-2"/>
    <x v="1"/>
  </r>
  <r>
    <d v="2025-03-30T00:00:00"/>
    <x v="4"/>
    <s v="New Product Launch"/>
    <n v="12684.54"/>
    <n v="242"/>
    <n v="89"/>
    <n v="284908.06"/>
    <n v="36.776899999999998"/>
    <n v="21.460999999999999"/>
    <x v="0"/>
  </r>
  <r>
    <d v="2025-01-22T00:00:00"/>
    <x v="1"/>
    <s v="New Product Launch"/>
    <n v="8965.08"/>
    <n v="110"/>
    <n v="9"/>
    <n v="44324.44"/>
    <n v="8.1818000000000008"/>
    <n v="3.9441000000000002"/>
    <x v="0"/>
  </r>
  <r>
    <d v="2025-12-16T00:00:00"/>
    <x v="4"/>
    <s v="Festival Offer"/>
    <n v="11761.29"/>
    <n v="227"/>
    <n v="29"/>
    <n v="158323.70000000001"/>
    <n v="12.7753"/>
    <n v="12.461399999999999"/>
    <x v="0"/>
  </r>
  <r>
    <d v="2025-04-27T00:00:00"/>
    <x v="1"/>
    <s v="Festival Offer"/>
    <n v="9544.26"/>
    <n v="133"/>
    <n v="38"/>
    <n v="102355.27"/>
    <n v="28.571400000000001"/>
    <n v="9.7242999999999995"/>
    <x v="0"/>
  </r>
  <r>
    <d v="2025-06-28T00:00:00"/>
    <x v="0"/>
    <s v="Lead Generation"/>
    <n v="3129.17"/>
    <n v="95"/>
    <n v="10"/>
    <n v="22847.09"/>
    <n v="10.526300000000001"/>
    <n v="6.3013000000000003"/>
    <x v="0"/>
  </r>
  <r>
    <d v="2025-03-22T00:00:00"/>
    <x v="0"/>
    <s v="Retargeting Campaign"/>
    <n v="14068.75"/>
    <n v="235"/>
    <n v="80"/>
    <n v="203922.37"/>
    <n v="34.0426"/>
    <n v="13.4947"/>
    <x v="0"/>
  </r>
  <r>
    <d v="2025-08-25T00:00:00"/>
    <x v="1"/>
    <s v="Retargeting Campaign"/>
    <n v="1074.57"/>
    <n v="209"/>
    <n v="69"/>
    <n v="351016.7"/>
    <n v="33.014400000000002"/>
    <n v="325.65780000000001"/>
    <x v="0"/>
  </r>
  <r>
    <d v="2025-08-13T00:00:00"/>
    <x v="1"/>
    <s v="Lead Generation"/>
    <n v="4674.42"/>
    <n v="179"/>
    <n v="66"/>
    <n v="121588.79"/>
    <n v="36.871499999999997"/>
    <n v="25.011500000000002"/>
    <x v="0"/>
  </r>
  <r>
    <d v="2025-10-19T00:00:00"/>
    <x v="0"/>
    <s v="Retargeting Campaign"/>
    <n v="6063.44"/>
    <n v="224"/>
    <n v="80"/>
    <n v="473920.85"/>
    <n v="35.714300000000001"/>
    <n v="77.160399999999996"/>
    <x v="0"/>
  </r>
  <r>
    <d v="2025-12-10T00:00:00"/>
    <x v="1"/>
    <s v="Festival Offer"/>
    <n v="13522.41"/>
    <n v="27"/>
    <n v="9"/>
    <n v="45802.35"/>
    <n v="33.333300000000001"/>
    <n v="2.3871000000000002"/>
    <x v="0"/>
  </r>
  <r>
    <d v="2025-08-30T00:00:00"/>
    <x v="2"/>
    <s v="New Product Launch"/>
    <n v="6854.55"/>
    <n v="173"/>
    <n v="27"/>
    <n v="142400.93"/>
    <n v="15.6069"/>
    <n v="19.774699999999999"/>
    <x v="0"/>
  </r>
  <r>
    <d v="2025-10-15T00:00:00"/>
    <x v="1"/>
    <s v="Retargeting Campaign"/>
    <n v="9917.01"/>
    <n v="242"/>
    <n v="43"/>
    <n v="108833.60000000001"/>
    <n v="17.768599999999999"/>
    <n v="9.9743999999999993"/>
    <x v="0"/>
  </r>
  <r>
    <d v="2025-12-10T00:00:00"/>
    <x v="3"/>
    <s v="Brand Awareness"/>
    <n v="3746.19"/>
    <n v="243"/>
    <n v="46"/>
    <n v="47538.64"/>
    <n v="18.93"/>
    <n v="11.6899"/>
    <x v="0"/>
  </r>
  <r>
    <d v="2025-02-25T00:00:00"/>
    <x v="2"/>
    <s v="New Product Launch"/>
    <n v="4810.25"/>
    <n v="118"/>
    <n v="11"/>
    <n v="22813.07"/>
    <n v="9.3219999999999992"/>
    <n v="3.7425999999999999"/>
    <x v="0"/>
  </r>
  <r>
    <d v="2025-11-18T00:00:00"/>
    <x v="1"/>
    <s v="Lead Generation"/>
    <n v="10098.76"/>
    <n v="129"/>
    <n v="36"/>
    <n v="112109.84"/>
    <n v="27.907"/>
    <n v="10.1013"/>
    <x v="0"/>
  </r>
  <r>
    <d v="2025-01-21T00:00:00"/>
    <x v="1"/>
    <s v="Lead Generation"/>
    <n v="10282.870000000001"/>
    <n v="248"/>
    <n v="21"/>
    <n v="99529.37"/>
    <n v="8.4677000000000007"/>
    <n v="8.6791"/>
    <x v="0"/>
  </r>
  <r>
    <d v="2025-08-18T00:00:00"/>
    <x v="0"/>
    <s v="Lead Generation"/>
    <n v="8284.1299999999992"/>
    <n v="83"/>
    <n v="13"/>
    <n v="76109.89"/>
    <n v="15.662699999999999"/>
    <n v="8.1874000000000002"/>
    <x v="0"/>
  </r>
  <r>
    <d v="2025-11-29T00:00:00"/>
    <x v="2"/>
    <s v="Lead Generation"/>
    <n v="8119.79"/>
    <n v="248"/>
    <n v="22"/>
    <n v="119125.3"/>
    <n v="8.8710000000000004"/>
    <n v="13.670999999999999"/>
    <x v="0"/>
  </r>
  <r>
    <d v="2025-03-12T00:00:00"/>
    <x v="1"/>
    <s v="Brand Awareness"/>
    <n v="3833.24"/>
    <n v="192"/>
    <n v="22"/>
    <n v="54266.87"/>
    <n v="11.458299999999999"/>
    <n v="13.1569"/>
    <x v="0"/>
  </r>
  <r>
    <d v="2025-04-04T00:00:00"/>
    <x v="4"/>
    <s v="Retargeting Campaign"/>
    <n v="7323.49"/>
    <n v="226"/>
    <n v="17"/>
    <n v="82986.429999999993"/>
    <n v="7.5221"/>
    <n v="10.3315"/>
    <x v="0"/>
  </r>
  <r>
    <d v="2025-06-22T00:00:00"/>
    <x v="1"/>
    <s v="Festival Offer"/>
    <n v="9435.27"/>
    <n v="44"/>
    <n v="14"/>
    <n v="69996.399999999994"/>
    <n v="31.818200000000001"/>
    <n v="6.4185999999999996"/>
    <x v="0"/>
  </r>
  <r>
    <d v="2025-02-12T00:00:00"/>
    <x v="4"/>
    <s v="New Product Launch"/>
    <n v="9087.6299999999992"/>
    <n v="65"/>
    <n v="8"/>
    <n v="37279.47"/>
    <n v="12.307700000000001"/>
    <n v="3.1021999999999998"/>
    <x v="0"/>
  </r>
  <r>
    <d v="2025-10-22T00:00:00"/>
    <x v="3"/>
    <s v="Retargeting Campaign"/>
    <n v="12872.69"/>
    <n v="157"/>
    <n v="61"/>
    <n v="135587.57999999999"/>
    <n v="38.853499999999997"/>
    <n v="9.5329999999999995"/>
    <x v="0"/>
  </r>
  <r>
    <d v="2025-06-05T00:00:00"/>
    <x v="1"/>
    <s v="Festival Offer"/>
    <n v="12197.6"/>
    <n v="55"/>
    <n v="9"/>
    <n v="51298.57"/>
    <n v="16.363600000000002"/>
    <n v="3.2056"/>
    <x v="0"/>
  </r>
  <r>
    <d v="2025-11-30T00:00:00"/>
    <x v="2"/>
    <s v="Brand Awareness"/>
    <n v="11981.83"/>
    <n v="26"/>
    <n v="2"/>
    <n v="7904.13"/>
    <n v="7.6923000000000004"/>
    <n v="-0.34029999999999999"/>
    <x v="1"/>
  </r>
  <r>
    <d v="2025-04-29T00:00:00"/>
    <x v="2"/>
    <s v="Lead Generation"/>
    <n v="11157.49"/>
    <n v="122"/>
    <n v="1"/>
    <n v="4654.87"/>
    <n v="0.81969999999999998"/>
    <n v="-0.58279999999999998"/>
    <x v="1"/>
  </r>
  <r>
    <d v="2025-07-05T00:00:00"/>
    <x v="3"/>
    <s v="Festival Offer"/>
    <n v="13284.91"/>
    <n v="59"/>
    <n v="7"/>
    <n v="25569.23"/>
    <n v="11.8644"/>
    <n v="0.92469999999999997"/>
    <x v="0"/>
  </r>
  <r>
    <d v="2025-06-10T00:00:00"/>
    <x v="1"/>
    <s v="Brand Awareness"/>
    <n v="12634.08"/>
    <n v="189"/>
    <n v="46"/>
    <n v="266790.58"/>
    <n v="24.3386"/>
    <n v="20.116700000000002"/>
    <x v="0"/>
  </r>
  <r>
    <d v="2025-11-20T00:00:00"/>
    <x v="3"/>
    <s v="Brand Awareness"/>
    <n v="3260.45"/>
    <n v="213"/>
    <n v="55"/>
    <n v="214642.94"/>
    <n v="25.8216"/>
    <n v="64.832300000000004"/>
    <x v="0"/>
  </r>
  <r>
    <d v="2025-03-15T00:00:00"/>
    <x v="2"/>
    <s v="Retargeting Campaign"/>
    <n v="10680.69"/>
    <n v="235"/>
    <n v="82"/>
    <n v="204855.15"/>
    <n v="34.893599999999999"/>
    <n v="18.18"/>
    <x v="0"/>
  </r>
  <r>
    <d v="2025-05-22T00:00:00"/>
    <x v="4"/>
    <s v="New Product Launch"/>
    <n v="14302.52"/>
    <n v="98"/>
    <n v="15"/>
    <n v="28807.58"/>
    <n v="15.306100000000001"/>
    <n v="1.0142"/>
    <x v="0"/>
  </r>
  <r>
    <d v="2025-12-11T00:00:00"/>
    <x v="3"/>
    <s v="Retargeting Campaign"/>
    <n v="14108.41"/>
    <n v="199"/>
    <n v="72"/>
    <n v="384935.57"/>
    <n v="36.180900000000001"/>
    <n v="26.284099999999999"/>
    <x v="0"/>
  </r>
  <r>
    <d v="2025-05-07T00:00:00"/>
    <x v="4"/>
    <s v="Lead Generation"/>
    <n v="2545.6"/>
    <n v="27"/>
    <n v="3"/>
    <n v="13798.72"/>
    <n v="11.1111"/>
    <n v="4.4206000000000003"/>
    <x v="0"/>
  </r>
  <r>
    <d v="2025-11-04T00:00:00"/>
    <x v="0"/>
    <s v="Festival Offer"/>
    <n v="12264.44"/>
    <n v="207"/>
    <n v="34"/>
    <n v="200444.84"/>
    <n v="16.4251"/>
    <n v="15.3436"/>
    <x v="0"/>
  </r>
  <r>
    <d v="2025-08-20T00:00:00"/>
    <x v="2"/>
    <s v="Retargeting Campaign"/>
    <n v="10179.959999999999"/>
    <n v="172"/>
    <n v="59"/>
    <n v="112889.33"/>
    <n v="34.302300000000002"/>
    <n v="10.089399999999999"/>
    <x v="0"/>
  </r>
  <r>
    <d v="2025-03-05T00:00:00"/>
    <x v="3"/>
    <s v="Retargeting Campaign"/>
    <n v="12651.15"/>
    <n v="119"/>
    <n v="19"/>
    <n v="43042.89"/>
    <n v="15.9664"/>
    <n v="2.4022999999999999"/>
    <x v="0"/>
  </r>
  <r>
    <d v="2025-04-02T00:00:00"/>
    <x v="1"/>
    <s v="Lead Generation"/>
    <n v="12138.43"/>
    <n v="164"/>
    <n v="39"/>
    <n v="173695.29"/>
    <n v="23.7805"/>
    <n v="13.3095"/>
    <x v="0"/>
  </r>
  <r>
    <d v="2025-12-01T00:00:00"/>
    <x v="2"/>
    <s v="Lead Generation"/>
    <n v="2576.2800000000002"/>
    <n v="48"/>
    <n v="18"/>
    <n v="28281.68"/>
    <n v="37.5"/>
    <n v="9.9777000000000005"/>
    <x v="0"/>
  </r>
  <r>
    <d v="2025-12-02T00:00:00"/>
    <x v="3"/>
    <s v="Lead Generation"/>
    <n v="3346.01"/>
    <n v="57"/>
    <n v="14"/>
    <n v="16810.580000000002"/>
    <n v="24.561399999999999"/>
    <n v="4.0240999999999998"/>
    <x v="0"/>
  </r>
  <r>
    <d v="2025-01-12T00:00:00"/>
    <x v="0"/>
    <s v="New Product Launch"/>
    <n v="5131.03"/>
    <n v="56"/>
    <n v="20"/>
    <n v="52587.13"/>
    <n v="35.714300000000001"/>
    <n v="9.2487999999999992"/>
    <x v="0"/>
  </r>
  <r>
    <d v="2025-04-01T00:00:00"/>
    <x v="3"/>
    <s v="Festival Offer"/>
    <n v="1803.6"/>
    <n v="23"/>
    <n v="9"/>
    <n v="28821.81"/>
    <n v="39.130400000000002"/>
    <n v="14.9802"/>
    <x v="0"/>
  </r>
  <r>
    <d v="2025-12-05T00:00:00"/>
    <x v="2"/>
    <s v="Festival Offer"/>
    <n v="2591.54"/>
    <n v="165"/>
    <n v="48"/>
    <n v="181924.78"/>
    <n v="29.090900000000001"/>
    <n v="69.1995"/>
    <x v="0"/>
  </r>
  <r>
    <d v="2025-08-01T00:00:00"/>
    <x v="2"/>
    <s v="Brand Awareness"/>
    <n v="14323.11"/>
    <n v="128"/>
    <n v="36"/>
    <n v="107125.88"/>
    <n v="28.125"/>
    <n v="6.4791999999999996"/>
    <x v="0"/>
  </r>
  <r>
    <d v="2025-08-25T00:00:00"/>
    <x v="0"/>
    <s v="Retargeting Campaign"/>
    <n v="1686.08"/>
    <n v="154"/>
    <n v="41"/>
    <n v="148854.06"/>
    <n v="26.6234"/>
    <n v="87.284099999999995"/>
    <x v="0"/>
  </r>
  <r>
    <d v="2025-08-06T00:00:00"/>
    <x v="4"/>
    <s v="New Product Launch"/>
    <n v="8214.6"/>
    <n v="161"/>
    <n v="11"/>
    <n v="40628.25"/>
    <n v="6.8323"/>
    <n v="3.9459"/>
    <x v="0"/>
  </r>
  <r>
    <d v="2025-06-25T00:00:00"/>
    <x v="1"/>
    <s v="Brand Awareness"/>
    <n v="12015.54"/>
    <n v="149"/>
    <n v="24"/>
    <n v="113864.79"/>
    <n v="16.107399999999998"/>
    <n v="8.4764999999999997"/>
    <x v="0"/>
  </r>
  <r>
    <d v="2025-10-11T00:00:00"/>
    <x v="1"/>
    <s v="New Product Launch"/>
    <n v="12064.68"/>
    <n v="38"/>
    <n v="6"/>
    <n v="11098.84"/>
    <n v="15.7895"/>
    <n v="-8.0100000000000005E-2"/>
    <x v="1"/>
  </r>
  <r>
    <d v="2025-02-07T00:00:00"/>
    <x v="3"/>
    <s v="Brand Awareness"/>
    <n v="6733.7"/>
    <n v="249"/>
    <n v="26"/>
    <n v="128354.06"/>
    <n v="10.441800000000001"/>
    <n v="18.061399999999999"/>
    <x v="0"/>
  </r>
  <r>
    <d v="2025-10-29T00:00:00"/>
    <x v="4"/>
    <s v="New Product Launch"/>
    <n v="2126.6799999999998"/>
    <n v="152"/>
    <n v="31"/>
    <n v="43636.05"/>
    <n v="20.3947"/>
    <n v="19.5184"/>
    <x v="0"/>
  </r>
  <r>
    <d v="2025-10-05T00:00:00"/>
    <x v="2"/>
    <s v="Brand Awareness"/>
    <n v="8976.76"/>
    <n v="126"/>
    <n v="43"/>
    <n v="253452.12"/>
    <n v="34.127000000000002"/>
    <n v="27.234300000000001"/>
    <x v="0"/>
  </r>
  <r>
    <d v="2025-06-29T00:00:00"/>
    <x v="1"/>
    <s v="Lead Generation"/>
    <n v="8241.7099999999991"/>
    <n v="88"/>
    <n v="15"/>
    <n v="38397.040000000001"/>
    <n v="17.045500000000001"/>
    <n v="3.6589"/>
    <x v="0"/>
  </r>
  <r>
    <d v="2025-07-20T00:00:00"/>
    <x v="2"/>
    <s v="Lead Generation"/>
    <n v="2008.1"/>
    <n v="60"/>
    <n v="7"/>
    <n v="25703.9"/>
    <n v="11.666700000000001"/>
    <n v="11.8001"/>
    <x v="0"/>
  </r>
  <r>
    <d v="2025-09-16T00:00:00"/>
    <x v="4"/>
    <s v="Brand Awareness"/>
    <n v="1824.66"/>
    <n v="228"/>
    <n v="7"/>
    <n v="22495.19"/>
    <n v="3.0701999999999998"/>
    <n v="11.3284"/>
    <x v="0"/>
  </r>
  <r>
    <d v="2025-03-01T00:00:00"/>
    <x v="3"/>
    <s v="Lead Generation"/>
    <n v="13768.72"/>
    <n v="63"/>
    <n v="24"/>
    <n v="123271.16"/>
    <n v="38.095199999999998"/>
    <n v="7.9530000000000003"/>
    <x v="0"/>
  </r>
  <r>
    <d v="2025-08-28T00:00:00"/>
    <x v="0"/>
    <s v="Brand Awareness"/>
    <n v="11493.31"/>
    <n v="155"/>
    <n v="13"/>
    <n v="70631.41"/>
    <n v="8.3871000000000002"/>
    <n v="5.1454000000000004"/>
    <x v="0"/>
  </r>
  <r>
    <d v="2025-08-17T00:00:00"/>
    <x v="0"/>
    <s v="Retargeting Campaign"/>
    <n v="14506.36"/>
    <n v="59"/>
    <n v="14"/>
    <n v="59497.82"/>
    <n v="23.7288"/>
    <n v="3.1015000000000001"/>
    <x v="0"/>
  </r>
  <r>
    <d v="2025-01-18T00:00:00"/>
    <x v="4"/>
    <s v="Lead Generation"/>
    <n v="11432.39"/>
    <n v="170"/>
    <n v="17"/>
    <n v="54821.29"/>
    <n v="10"/>
    <n v="3.7953000000000001"/>
    <x v="0"/>
  </r>
  <r>
    <d v="2025-03-25T00:00:00"/>
    <x v="0"/>
    <s v="Lead Generation"/>
    <n v="3844.43"/>
    <n v="124"/>
    <n v="21"/>
    <n v="94701.36"/>
    <n v="16.935500000000001"/>
    <n v="23.633400000000002"/>
    <x v="0"/>
  </r>
  <r>
    <d v="2025-05-25T00:00:00"/>
    <x v="3"/>
    <s v="Lead Generation"/>
    <n v="13279.85"/>
    <n v="227"/>
    <n v="64"/>
    <n v="343119.6"/>
    <n v="28.1938"/>
    <n v="24.837599999999998"/>
    <x v="0"/>
  </r>
  <r>
    <d v="2025-10-05T00:00:00"/>
    <x v="1"/>
    <s v="Festival Offer"/>
    <n v="5893.59"/>
    <n v="39"/>
    <n v="4"/>
    <n v="8600.77"/>
    <n v="10.256399999999999"/>
    <n v="0.45929999999999999"/>
    <x v="0"/>
  </r>
  <r>
    <d v="2025-01-02T00:00:00"/>
    <x v="0"/>
    <s v="Retargeting Campaign"/>
    <n v="14476.52"/>
    <n v="222"/>
    <n v="15"/>
    <n v="83096.19"/>
    <n v="6.7568000000000001"/>
    <n v="4.7401"/>
    <x v="0"/>
  </r>
  <r>
    <d v="2025-01-05T00:00:00"/>
    <x v="4"/>
    <s v="New Product Launch"/>
    <n v="5761.79"/>
    <n v="209"/>
    <n v="79"/>
    <n v="166267.79"/>
    <n v="37.798999999999999"/>
    <n v="27.856999999999999"/>
    <x v="0"/>
  </r>
  <r>
    <d v="2025-12-02T00:00:00"/>
    <x v="1"/>
    <s v="Festival Offer"/>
    <n v="12370.09"/>
    <n v="69"/>
    <n v="18"/>
    <n v="36271.800000000003"/>
    <n v="26.087"/>
    <n v="1.9321999999999999"/>
    <x v="0"/>
  </r>
  <r>
    <d v="2025-03-22T00:00:00"/>
    <x v="2"/>
    <s v="New Product Launch"/>
    <n v="5357.89"/>
    <n v="29"/>
    <n v="5"/>
    <n v="6562.99"/>
    <n v="17.241399999999999"/>
    <n v="0.22489999999999999"/>
    <x v="0"/>
  </r>
  <r>
    <d v="2025-10-02T00:00:00"/>
    <x v="4"/>
    <s v="Brand Awareness"/>
    <n v="4029.8"/>
    <n v="86"/>
    <n v="24"/>
    <n v="40881.06"/>
    <n v="27.907"/>
    <n v="9.1447000000000003"/>
    <x v="0"/>
  </r>
  <r>
    <d v="2025-12-24T00:00:00"/>
    <x v="0"/>
    <s v="Retargeting Campaign"/>
    <n v="6494.09"/>
    <n v="144"/>
    <n v="18"/>
    <n v="67412.47"/>
    <n v="12.5"/>
    <n v="9.3805999999999994"/>
    <x v="0"/>
  </r>
  <r>
    <d v="2025-10-29T00:00:00"/>
    <x v="1"/>
    <s v="Festival Offer"/>
    <n v="10560.04"/>
    <n v="88"/>
    <n v="18"/>
    <n v="94686.080000000002"/>
    <n v="20.454499999999999"/>
    <n v="7.9664999999999999"/>
    <x v="0"/>
  </r>
  <r>
    <d v="2025-04-22T00:00:00"/>
    <x v="4"/>
    <s v="Brand Awareness"/>
    <n v="11156"/>
    <n v="64"/>
    <n v="12"/>
    <n v="21439.05"/>
    <n v="18.75"/>
    <n v="0.92179999999999995"/>
    <x v="0"/>
  </r>
  <r>
    <d v="2025-01-10T00:00:00"/>
    <x v="2"/>
    <s v="Retargeting Campaign"/>
    <n v="14061.28"/>
    <n v="245"/>
    <n v="79"/>
    <n v="162780.70000000001"/>
    <n v="32.244900000000001"/>
    <n v="10.576499999999999"/>
    <x v="0"/>
  </r>
  <r>
    <d v="2025-03-07T00:00:00"/>
    <x v="0"/>
    <s v="Festival Offer"/>
    <n v="13925.32"/>
    <n v="57"/>
    <n v="18"/>
    <n v="25143.63"/>
    <n v="31.578900000000001"/>
    <n v="0.80559999999999998"/>
    <x v="0"/>
  </r>
  <r>
    <d v="2025-02-26T00:00:00"/>
    <x v="1"/>
    <s v="Retargeting Campaign"/>
    <n v="6526.7"/>
    <n v="187"/>
    <n v="35"/>
    <n v="93840.85"/>
    <n v="18.7166"/>
    <n v="13.378"/>
    <x v="0"/>
  </r>
  <r>
    <d v="2025-09-13T00:00:00"/>
    <x v="2"/>
    <s v="Lead Generation"/>
    <n v="11686.86"/>
    <n v="193"/>
    <n v="48"/>
    <n v="123950.21"/>
    <n v="24.8705"/>
    <n v="9.6059000000000001"/>
    <x v="0"/>
  </r>
  <r>
    <d v="2025-06-21T00:00:00"/>
    <x v="0"/>
    <s v="Retargeting Campaign"/>
    <n v="11486.76"/>
    <n v="38"/>
    <n v="15"/>
    <n v="55999.51"/>
    <n v="39.473700000000001"/>
    <n v="3.8751000000000002"/>
    <x v="0"/>
  </r>
  <r>
    <d v="2025-12-12T00:00:00"/>
    <x v="2"/>
    <s v="Brand Awareness"/>
    <n v="12182.29"/>
    <n v="54"/>
    <n v="5"/>
    <n v="16309.2"/>
    <n v="9.2592999999999996"/>
    <n v="0.33879999999999999"/>
    <x v="0"/>
  </r>
  <r>
    <d v="2025-03-28T00:00:00"/>
    <x v="2"/>
    <s v="Festival Offer"/>
    <n v="10619.73"/>
    <n v="57"/>
    <n v="1"/>
    <n v="1924.32"/>
    <n v="1.7544"/>
    <n v="-0.81879999999999997"/>
    <x v="1"/>
  </r>
  <r>
    <d v="2025-11-19T00:00:00"/>
    <x v="3"/>
    <s v="Festival Offer"/>
    <n v="10351.64"/>
    <n v="203"/>
    <n v="47"/>
    <n v="171681.82"/>
    <n v="23.152699999999999"/>
    <n v="15.585000000000001"/>
    <x v="0"/>
  </r>
  <r>
    <d v="2025-06-03T00:00:00"/>
    <x v="3"/>
    <s v="Lead Generation"/>
    <n v="2257.73"/>
    <n v="225"/>
    <n v="72"/>
    <n v="351779.25"/>
    <n v="32"/>
    <n v="154.81100000000001"/>
    <x v="0"/>
  </r>
  <r>
    <d v="2025-08-01T00:00:00"/>
    <x v="4"/>
    <s v="Retargeting Campaign"/>
    <n v="10324.92"/>
    <n v="238"/>
    <n v="1"/>
    <n v="5775.11"/>
    <n v="0.42020000000000002"/>
    <n v="-0.44069999999999998"/>
    <x v="1"/>
  </r>
  <r>
    <d v="2025-11-25T00:00:00"/>
    <x v="1"/>
    <s v="Retargeting Campaign"/>
    <n v="7418.74"/>
    <n v="112"/>
    <n v="24"/>
    <n v="60062.239999999998"/>
    <n v="21.428599999999999"/>
    <n v="7.0960000000000001"/>
    <x v="0"/>
  </r>
  <r>
    <d v="2025-12-09T00:00:00"/>
    <x v="4"/>
    <s v="Retargeting Campaign"/>
    <n v="2203.9699999999998"/>
    <n v="163"/>
    <n v="61"/>
    <n v="171159.61"/>
    <n v="37.423299999999998"/>
    <n v="76.659700000000001"/>
    <x v="0"/>
  </r>
  <r>
    <d v="2025-04-13T00:00:00"/>
    <x v="1"/>
    <s v="Lead Generation"/>
    <n v="8979.43"/>
    <n v="88"/>
    <n v="32"/>
    <n v="119751.19"/>
    <n v="36.363599999999998"/>
    <n v="12.3362"/>
    <x v="0"/>
  </r>
  <r>
    <d v="2025-02-14T00:00:00"/>
    <x v="2"/>
    <s v="Festival Offer"/>
    <n v="2205.73"/>
    <n v="64"/>
    <n v="15"/>
    <n v="41856.239999999998"/>
    <n v="23.4375"/>
    <n v="17.976099999999999"/>
    <x v="0"/>
  </r>
  <r>
    <d v="2025-11-07T00:00:00"/>
    <x v="0"/>
    <s v="Retargeting Campaign"/>
    <n v="5733.06"/>
    <n v="68"/>
    <n v="18"/>
    <n v="79408.149999999994"/>
    <n v="26.470600000000001"/>
    <n v="12.850899999999999"/>
    <x v="0"/>
  </r>
  <r>
    <d v="2025-12-11T00:00:00"/>
    <x v="2"/>
    <s v="Retargeting Campaign"/>
    <n v="11335.44"/>
    <n v="189"/>
    <n v="12"/>
    <n v="43532.25"/>
    <n v="6.3491999999999997"/>
    <n v="2.8403999999999998"/>
    <x v="0"/>
  </r>
  <r>
    <d v="2025-03-11T00:00:00"/>
    <x v="2"/>
    <s v="Brand Awareness"/>
    <n v="8867.1299999999992"/>
    <n v="54"/>
    <n v="7"/>
    <n v="23865.46"/>
    <n v="12.962999999999999"/>
    <n v="1.6915"/>
    <x v="0"/>
  </r>
  <r>
    <d v="2025-11-06T00:00:00"/>
    <x v="1"/>
    <s v="Lead Generation"/>
    <n v="12501.61"/>
    <n v="177"/>
    <n v="66"/>
    <n v="96929.46"/>
    <n v="37.2881"/>
    <n v="6.7534000000000001"/>
    <x v="0"/>
  </r>
  <r>
    <d v="2025-06-22T00:00:00"/>
    <x v="4"/>
    <s v="Brand Awareness"/>
    <n v="2111.0700000000002"/>
    <n v="221"/>
    <n v="47"/>
    <n v="159292"/>
    <n v="21.266999999999999"/>
    <n v="74.455600000000004"/>
    <x v="0"/>
  </r>
  <r>
    <d v="2025-04-30T00:00:00"/>
    <x v="4"/>
    <s v="Festival Offer"/>
    <n v="8496.17"/>
    <n v="157"/>
    <n v="32"/>
    <n v="46890.080000000002"/>
    <n v="20.382200000000001"/>
    <n v="4.5190000000000001"/>
    <x v="0"/>
  </r>
  <r>
    <d v="2025-01-31T00:00:00"/>
    <x v="2"/>
    <s v="New Product Launch"/>
    <n v="3321.91"/>
    <n v="55"/>
    <n v="12"/>
    <n v="34753.64"/>
    <n v="21.818200000000001"/>
    <n v="9.4619"/>
    <x v="0"/>
  </r>
  <r>
    <d v="2025-09-04T00:00:00"/>
    <x v="4"/>
    <s v="Brand Awareness"/>
    <n v="2508.34"/>
    <n v="185"/>
    <n v="20"/>
    <n v="80522.59"/>
    <n v="10.8108"/>
    <n v="31.101900000000001"/>
    <x v="0"/>
  </r>
  <r>
    <d v="2025-02-19T00:00:00"/>
    <x v="1"/>
    <s v="Brand Awareness"/>
    <n v="13017.27"/>
    <n v="185"/>
    <n v="73"/>
    <n v="254505.52"/>
    <n v="39.459499999999998"/>
    <n v="18.551400000000001"/>
    <x v="0"/>
  </r>
  <r>
    <d v="2025-10-04T00:00:00"/>
    <x v="1"/>
    <s v="Retargeting Campaign"/>
    <n v="13209.4"/>
    <n v="31"/>
    <n v="7"/>
    <n v="32750.01"/>
    <n v="22.5806"/>
    <n v="1.4793000000000001"/>
    <x v="0"/>
  </r>
  <r>
    <d v="2025-09-24T00:00:00"/>
    <x v="4"/>
    <s v="Lead Generation"/>
    <n v="9777.86"/>
    <n v="148"/>
    <n v="50"/>
    <n v="154580.65"/>
    <n v="33.783799999999999"/>
    <n v="14.8093"/>
    <x v="0"/>
  </r>
  <r>
    <d v="2025-07-07T00:00:00"/>
    <x v="2"/>
    <s v="Lead Generation"/>
    <n v="6503.97"/>
    <n v="239"/>
    <n v="50"/>
    <n v="258272.21"/>
    <n v="20.920500000000001"/>
    <n v="38.709899999999998"/>
    <x v="0"/>
  </r>
  <r>
    <d v="2025-08-18T00:00:00"/>
    <x v="1"/>
    <s v="New Product Launch"/>
    <n v="6258.89"/>
    <n v="145"/>
    <n v="14"/>
    <n v="54087.31"/>
    <n v="9.6552000000000007"/>
    <n v="7.6417000000000002"/>
    <x v="0"/>
  </r>
  <r>
    <d v="2025-12-16T00:00:00"/>
    <x v="3"/>
    <s v="Retargeting Campaign"/>
    <n v="4198.58"/>
    <n v="74"/>
    <n v="3"/>
    <n v="5285.11"/>
    <n v="4.0541"/>
    <n v="0.25879999999999997"/>
    <x v="0"/>
  </r>
  <r>
    <d v="2025-11-28T00:00:00"/>
    <x v="2"/>
    <s v="Retargeting Campaign"/>
    <n v="10768.12"/>
    <n v="187"/>
    <n v="28"/>
    <n v="104835.23"/>
    <n v="14.9733"/>
    <n v="8.7356999999999996"/>
    <x v="0"/>
  </r>
  <r>
    <d v="2025-07-02T00:00:00"/>
    <x v="2"/>
    <s v="New Product Launch"/>
    <n v="8266.11"/>
    <n v="213"/>
    <n v="6"/>
    <n v="26049.98"/>
    <n v="2.8169"/>
    <n v="2.1514000000000002"/>
    <x v="0"/>
  </r>
  <r>
    <d v="2025-08-27T00:00:00"/>
    <x v="0"/>
    <s v="New Product Launch"/>
    <n v="3512.23"/>
    <n v="177"/>
    <n v="2"/>
    <n v="10115.200000000001"/>
    <n v="1.1298999999999999"/>
    <n v="1.88"/>
    <x v="0"/>
  </r>
  <r>
    <d v="2025-12-23T00:00:00"/>
    <x v="0"/>
    <s v="Brand Awareness"/>
    <n v="3595.06"/>
    <n v="237"/>
    <n v="45"/>
    <n v="204131.65"/>
    <n v="18.987300000000001"/>
    <n v="55.781199999999998"/>
    <x v="0"/>
  </r>
  <r>
    <d v="2025-09-23T00:00:00"/>
    <x v="2"/>
    <s v="New Product Launch"/>
    <n v="14408.9"/>
    <n v="107"/>
    <n v="20"/>
    <n v="111537.01"/>
    <n v="18.691600000000001"/>
    <n v="6.7408000000000001"/>
    <x v="0"/>
  </r>
  <r>
    <d v="2025-10-09T00:00:00"/>
    <x v="2"/>
    <s v="Retargeting Campaign"/>
    <n v="12318.31"/>
    <n v="195"/>
    <n v="7"/>
    <n v="16617.13"/>
    <n v="3.5897000000000001"/>
    <n v="0.34899999999999998"/>
    <x v="0"/>
  </r>
  <r>
    <d v="2025-11-15T00:00:00"/>
    <x v="1"/>
    <s v="Festival Offer"/>
    <n v="9484.42"/>
    <n v="190"/>
    <n v="60"/>
    <n v="152667.79999999999"/>
    <n v="31.578900000000001"/>
    <n v="15.0967"/>
    <x v="0"/>
  </r>
  <r>
    <d v="2025-07-20T00:00:00"/>
    <x v="1"/>
    <s v="Lead Generation"/>
    <n v="13458.36"/>
    <n v="24"/>
    <n v="9"/>
    <n v="46196.51"/>
    <n v="37.5"/>
    <n v="2.4325999999999999"/>
    <x v="0"/>
  </r>
  <r>
    <d v="2025-10-07T00:00:00"/>
    <x v="1"/>
    <s v="New Product Launch"/>
    <n v="2738.82"/>
    <n v="196"/>
    <n v="64"/>
    <n v="249352.93"/>
    <n v="32.653100000000002"/>
    <n v="90.043899999999994"/>
    <x v="0"/>
  </r>
  <r>
    <d v="2025-10-06T00:00:00"/>
    <x v="1"/>
    <s v="Brand Awareness"/>
    <n v="13847.02"/>
    <n v="168"/>
    <n v="5"/>
    <n v="13150.08"/>
    <n v="2.9762"/>
    <n v="-5.0299999999999997E-2"/>
    <x v="1"/>
  </r>
  <r>
    <d v="2025-04-22T00:00:00"/>
    <x v="0"/>
    <s v="Festival Offer"/>
    <n v="6966.32"/>
    <n v="175"/>
    <n v="38"/>
    <n v="218391.56"/>
    <n v="21.714300000000001"/>
    <n v="30.349599999999999"/>
    <x v="0"/>
  </r>
  <r>
    <d v="2025-05-16T00:00:00"/>
    <x v="3"/>
    <s v="New Product Launch"/>
    <n v="6443.75"/>
    <n v="243"/>
    <n v="97"/>
    <n v="183331.61"/>
    <n v="39.917700000000004"/>
    <n v="27.4511"/>
    <x v="0"/>
  </r>
  <r>
    <d v="2025-06-18T00:00:00"/>
    <x v="4"/>
    <s v="New Product Launch"/>
    <n v="5782.65"/>
    <n v="131"/>
    <n v="33"/>
    <n v="98638.48"/>
    <n v="25.190799999999999"/>
    <n v="16.057700000000001"/>
    <x v="0"/>
  </r>
  <r>
    <d v="2025-12-17T00:00:00"/>
    <x v="0"/>
    <s v="Lead Generation"/>
    <n v="4193.91"/>
    <n v="188"/>
    <n v="29"/>
    <n v="114500.45"/>
    <n v="15.4255"/>
    <n v="26.301600000000001"/>
    <x v="0"/>
  </r>
  <r>
    <d v="2025-04-26T00:00:00"/>
    <x v="0"/>
    <s v="Brand Awareness"/>
    <n v="4028.99"/>
    <n v="175"/>
    <n v="20"/>
    <n v="117397.96"/>
    <n v="11.428599999999999"/>
    <n v="28.138300000000001"/>
    <x v="0"/>
  </r>
  <r>
    <d v="2025-02-05T00:00:00"/>
    <x v="1"/>
    <s v="New Product Launch"/>
    <n v="4369.91"/>
    <n v="57"/>
    <n v="4"/>
    <n v="22689.599999999999"/>
    <n v="7.0175000000000001"/>
    <n v="4.1921999999999997"/>
    <x v="0"/>
  </r>
  <r>
    <d v="2025-07-22T00:00:00"/>
    <x v="0"/>
    <s v="Retargeting Campaign"/>
    <n v="6307.61"/>
    <n v="231"/>
    <n v="21"/>
    <n v="49473.18"/>
    <n v="9.0908999999999995"/>
    <n v="6.8433999999999999"/>
    <x v="0"/>
  </r>
  <r>
    <d v="2025-09-14T00:00:00"/>
    <x v="4"/>
    <s v="Brand Awareness"/>
    <n v="8326.9699999999993"/>
    <n v="131"/>
    <n v="42"/>
    <n v="168676.46"/>
    <n v="32.061100000000003"/>
    <n v="19.256599999999999"/>
    <x v="0"/>
  </r>
  <r>
    <d v="2025-11-07T00:00:00"/>
    <x v="2"/>
    <s v="New Product Launch"/>
    <n v="4358.66"/>
    <n v="141"/>
    <n v="10"/>
    <n v="10226.4"/>
    <n v="7.0922000000000001"/>
    <n v="1.3462000000000001"/>
    <x v="0"/>
  </r>
  <r>
    <d v="2025-02-09T00:00:00"/>
    <x v="0"/>
    <s v="Retargeting Campaign"/>
    <n v="1624.72"/>
    <n v="217"/>
    <n v="23"/>
    <n v="52549.81"/>
    <n v="10.5991"/>
    <n v="31.343900000000001"/>
    <x v="0"/>
  </r>
  <r>
    <d v="2025-12-16T00:00:00"/>
    <x v="1"/>
    <s v="Brand Awareness"/>
    <n v="8846.4699999999993"/>
    <n v="41"/>
    <n v="13"/>
    <n v="51823.7"/>
    <n v="31.7073"/>
    <n v="4.8581000000000003"/>
    <x v="0"/>
  </r>
  <r>
    <d v="2025-02-06T00:00:00"/>
    <x v="1"/>
    <s v="Retargeting Campaign"/>
    <n v="14204.49"/>
    <n v="113"/>
    <n v="30"/>
    <n v="168284.17"/>
    <n v="26.5487"/>
    <n v="10.847300000000001"/>
    <x v="0"/>
  </r>
  <r>
    <d v="2025-10-07T00:00:00"/>
    <x v="3"/>
    <s v="Lead Generation"/>
    <n v="14191.11"/>
    <n v="211"/>
    <n v="53"/>
    <n v="223795.35"/>
    <n v="25.118500000000001"/>
    <n v="14.770099999999999"/>
    <x v="0"/>
  </r>
  <r>
    <d v="2025-04-05T00:00:00"/>
    <x v="0"/>
    <s v="Festival Offer"/>
    <n v="1014.56"/>
    <n v="55"/>
    <n v="20"/>
    <n v="116723.31"/>
    <n v="36.363599999999998"/>
    <n v="114.04819999999999"/>
    <x v="0"/>
  </r>
  <r>
    <d v="2025-12-27T00:00:00"/>
    <x v="3"/>
    <s v="Retargeting Campaign"/>
    <n v="12796.65"/>
    <n v="221"/>
    <n v="64"/>
    <n v="97197.68"/>
    <n v="28.959299999999999"/>
    <n v="6.5956000000000001"/>
    <x v="0"/>
  </r>
  <r>
    <d v="2025-09-06T00:00:00"/>
    <x v="4"/>
    <s v="New Product Launch"/>
    <n v="2868.05"/>
    <n v="225"/>
    <n v="83"/>
    <n v="425910.4"/>
    <n v="36.8889"/>
    <n v="147.5017"/>
    <x v="0"/>
  </r>
  <r>
    <d v="2025-02-22T00:00:00"/>
    <x v="0"/>
    <s v="Retargeting Campaign"/>
    <n v="4715"/>
    <n v="190"/>
    <n v="36"/>
    <n v="130972.78"/>
    <n v="18.947399999999998"/>
    <n v="26.777899999999999"/>
    <x v="0"/>
  </r>
  <r>
    <d v="2025-12-19T00:00:00"/>
    <x v="3"/>
    <s v="Lead Generation"/>
    <n v="13196.1"/>
    <n v="53"/>
    <n v="4"/>
    <n v="14654.73"/>
    <n v="7.5472000000000001"/>
    <n v="0.1105"/>
    <x v="0"/>
  </r>
  <r>
    <d v="2025-08-29T00:00:00"/>
    <x v="3"/>
    <s v="Retargeting Campaign"/>
    <n v="4158.3100000000004"/>
    <n v="170"/>
    <n v="4"/>
    <n v="17262.62"/>
    <n v="2.3529"/>
    <n v="3.1514000000000002"/>
    <x v="0"/>
  </r>
  <r>
    <d v="2025-03-05T00:00:00"/>
    <x v="3"/>
    <s v="Retargeting Campaign"/>
    <n v="5783.52"/>
    <n v="63"/>
    <n v="5"/>
    <n v="19962.54"/>
    <n v="7.9364999999999997"/>
    <n v="2.4516"/>
    <x v="0"/>
  </r>
  <r>
    <d v="2025-03-10T00:00:00"/>
    <x v="3"/>
    <s v="Retargeting Campaign"/>
    <n v="13143.3"/>
    <n v="33"/>
    <n v="5"/>
    <n v="28627.39"/>
    <n v="15.1515"/>
    <n v="1.1780999999999999"/>
    <x v="0"/>
  </r>
  <r>
    <d v="2025-02-11T00:00:00"/>
    <x v="4"/>
    <s v="Retargeting Campaign"/>
    <n v="13311.93"/>
    <n v="144"/>
    <n v="16"/>
    <n v="51226.82"/>
    <n v="11.1111"/>
    <n v="2.8481999999999998"/>
    <x v="0"/>
  </r>
  <r>
    <d v="2025-04-14T00:00:00"/>
    <x v="3"/>
    <s v="Brand Awareness"/>
    <n v="12462.18"/>
    <n v="67"/>
    <n v="10"/>
    <n v="58513.16"/>
    <n v="14.9254"/>
    <n v="3.6953"/>
    <x v="0"/>
  </r>
  <r>
    <d v="2025-10-27T00:00:00"/>
    <x v="0"/>
    <s v="Brand Awareness"/>
    <n v="2369.66"/>
    <n v="165"/>
    <n v="14"/>
    <n v="21434.06"/>
    <n v="8.4847999999999999"/>
    <n v="8.0451999999999995"/>
    <x v="0"/>
  </r>
  <r>
    <d v="2025-08-28T00:00:00"/>
    <x v="2"/>
    <s v="New Product Launch"/>
    <n v="1649.91"/>
    <n v="151"/>
    <n v="20"/>
    <n v="91704.86"/>
    <n v="13.244999999999999"/>
    <n v="54.581699999999998"/>
    <x v="0"/>
  </r>
  <r>
    <d v="2025-08-02T00:00:00"/>
    <x v="2"/>
    <s v="Festival Offer"/>
    <n v="13068.31"/>
    <n v="238"/>
    <n v="29"/>
    <n v="134590.04"/>
    <n v="12.184900000000001"/>
    <n v="9.2989999999999995"/>
    <x v="0"/>
  </r>
  <r>
    <d v="2025-01-12T00:00:00"/>
    <x v="2"/>
    <s v="Brand Awareness"/>
    <n v="12313.95"/>
    <n v="54"/>
    <n v="7"/>
    <n v="16395.990000000002"/>
    <n v="12.962999999999999"/>
    <n v="0.33150000000000002"/>
    <x v="0"/>
  </r>
  <r>
    <d v="2025-09-02T00:00:00"/>
    <x v="2"/>
    <s v="Brand Awareness"/>
    <n v="6558.02"/>
    <n v="194"/>
    <n v="46"/>
    <n v="214426.08"/>
    <n v="23.711300000000001"/>
    <n v="31.6968"/>
    <x v="0"/>
  </r>
  <r>
    <d v="2025-12-15T00:00:00"/>
    <x v="2"/>
    <s v="New Product Launch"/>
    <n v="8950.5300000000007"/>
    <n v="181"/>
    <n v="6"/>
    <n v="24515.34"/>
    <n v="3.3149000000000002"/>
    <n v="1.7390000000000001"/>
    <x v="0"/>
  </r>
  <r>
    <d v="2025-09-16T00:00:00"/>
    <x v="3"/>
    <s v="Retargeting Campaign"/>
    <n v="12916.22"/>
    <n v="72"/>
    <n v="21"/>
    <n v="31900.62"/>
    <n v="29.166699999999999"/>
    <n v="1.4698"/>
    <x v="0"/>
  </r>
  <r>
    <d v="2025-01-06T00:00:00"/>
    <x v="3"/>
    <s v="Brand Awareness"/>
    <n v="11148.13"/>
    <n v="97"/>
    <n v="2"/>
    <n v="6286.3"/>
    <n v="2.0619000000000001"/>
    <n v="-0.43609999999999999"/>
    <x v="1"/>
  </r>
  <r>
    <d v="2025-02-19T00:00:00"/>
    <x v="2"/>
    <s v="Retargeting Campaign"/>
    <n v="3438.24"/>
    <n v="60"/>
    <n v="12"/>
    <n v="24439.3"/>
    <n v="20"/>
    <n v="6.1081000000000003"/>
    <x v="0"/>
  </r>
  <r>
    <d v="2025-06-07T00:00:00"/>
    <x v="2"/>
    <s v="Brand Awareness"/>
    <n v="2706.95"/>
    <n v="70"/>
    <n v="1"/>
    <n v="4851.6499999999996"/>
    <n v="1.4286000000000001"/>
    <n v="0.7923"/>
    <x v="0"/>
  </r>
  <r>
    <d v="2025-05-09T00:00:00"/>
    <x v="1"/>
    <s v="New Product Launch"/>
    <n v="12119.24"/>
    <n v="44"/>
    <n v="16"/>
    <n v="35748.32"/>
    <n v="36.363599999999998"/>
    <n v="1.9497"/>
    <x v="0"/>
  </r>
  <r>
    <d v="2025-12-31T00:00:00"/>
    <x v="4"/>
    <s v="Brand Awareness"/>
    <n v="5553.81"/>
    <n v="201"/>
    <n v="39"/>
    <n v="233384.61"/>
    <n v="19.402999999999999"/>
    <n v="41.022399999999998"/>
    <x v="0"/>
  </r>
  <r>
    <d v="2025-01-16T00:00:00"/>
    <x v="0"/>
    <s v="New Product Launch"/>
    <n v="9983.39"/>
    <n v="221"/>
    <n v="8"/>
    <n v="40841.769999999997"/>
    <n v="3.6198999999999999"/>
    <n v="3.0910000000000002"/>
    <x v="0"/>
  </r>
  <r>
    <d v="2025-05-19T00:00:00"/>
    <x v="0"/>
    <s v="Lead Generation"/>
    <n v="5850.93"/>
    <n v="168"/>
    <n v="57"/>
    <n v="299214.8"/>
    <n v="33.928600000000003"/>
    <n v="50.139699999999998"/>
    <x v="0"/>
  </r>
  <r>
    <d v="2025-06-18T00:00:00"/>
    <x v="2"/>
    <s v="Festival Offer"/>
    <n v="9942.2999999999993"/>
    <n v="35"/>
    <n v="9"/>
    <n v="50999.519999999997"/>
    <n v="25.714300000000001"/>
    <n v="4.1295000000000002"/>
    <x v="0"/>
  </r>
  <r>
    <d v="2025-09-13T00:00:00"/>
    <x v="4"/>
    <s v="Festival Offer"/>
    <n v="6110.93"/>
    <n v="46"/>
    <n v="11"/>
    <n v="15280.26"/>
    <n v="23.913"/>
    <n v="1.5004999999999999"/>
    <x v="0"/>
  </r>
  <r>
    <d v="2025-07-15T00:00:00"/>
    <x v="2"/>
    <s v="Retargeting Campaign"/>
    <n v="7781.82"/>
    <n v="187"/>
    <n v="57"/>
    <n v="328945.8"/>
    <n v="30.481300000000001"/>
    <n v="41.271099999999997"/>
    <x v="0"/>
  </r>
  <r>
    <d v="2025-11-18T00:00:00"/>
    <x v="3"/>
    <s v="Retargeting Campaign"/>
    <n v="11996.6"/>
    <n v="73"/>
    <n v="16"/>
    <n v="18569.259999999998"/>
    <n v="21.9178"/>
    <n v="0.54790000000000005"/>
    <x v="0"/>
  </r>
  <r>
    <d v="2025-01-06T00:00:00"/>
    <x v="4"/>
    <s v="Brand Awareness"/>
    <n v="8764.66"/>
    <n v="105"/>
    <n v="12"/>
    <n v="49832.18"/>
    <n v="11.428599999999999"/>
    <n v="4.6856"/>
    <x v="0"/>
  </r>
  <r>
    <d v="2025-10-05T00:00:00"/>
    <x v="0"/>
    <s v="Festival Offer"/>
    <n v="7543.2"/>
    <n v="192"/>
    <n v="29"/>
    <n v="53136.22"/>
    <n v="15.104200000000001"/>
    <n v="6.0442999999999998"/>
    <x v="0"/>
  </r>
  <r>
    <d v="2025-06-15T00:00:00"/>
    <x v="2"/>
    <s v="Brand Awareness"/>
    <n v="9186.5400000000009"/>
    <n v="183"/>
    <n v="38"/>
    <n v="186292.73"/>
    <n v="20.765000000000001"/>
    <n v="19.2789"/>
    <x v="0"/>
  </r>
  <r>
    <d v="2025-07-06T00:00:00"/>
    <x v="4"/>
    <s v="Brand Awareness"/>
    <n v="5363.86"/>
    <n v="241"/>
    <n v="78"/>
    <n v="263082.67"/>
    <n v="32.365099999999998"/>
    <n v="48.0473"/>
    <x v="0"/>
  </r>
  <r>
    <d v="2025-11-17T00:00:00"/>
    <x v="0"/>
    <s v="Brand Awareness"/>
    <n v="6990.08"/>
    <n v="200"/>
    <n v="44"/>
    <n v="130473.68"/>
    <n v="22"/>
    <n v="17.665500000000002"/>
    <x v="0"/>
  </r>
  <r>
    <d v="2025-10-30T00:00:00"/>
    <x v="4"/>
    <s v="Brand Awareness"/>
    <n v="11638.18"/>
    <n v="161"/>
    <n v="30"/>
    <n v="33948.43"/>
    <n v="18.633500000000002"/>
    <n v="1.917"/>
    <x v="0"/>
  </r>
  <r>
    <d v="2025-07-05T00:00:00"/>
    <x v="3"/>
    <s v="Festival Offer"/>
    <n v="13483.87"/>
    <n v="195"/>
    <n v="19"/>
    <n v="100185.45"/>
    <n v="9.7436000000000007"/>
    <n v="6.43"/>
    <x v="0"/>
  </r>
  <r>
    <d v="2025-01-02T00:00:00"/>
    <x v="0"/>
    <s v="Lead Generation"/>
    <n v="6876.18"/>
    <n v="240"/>
    <n v="92"/>
    <n v="208578.26"/>
    <n v="38.333300000000001"/>
    <n v="29.333400000000001"/>
    <x v="0"/>
  </r>
  <r>
    <d v="2025-03-03T00:00:00"/>
    <x v="3"/>
    <s v="Lead Generation"/>
    <n v="2876.74"/>
    <n v="197"/>
    <n v="74"/>
    <n v="349000.93"/>
    <n v="37.563499999999998"/>
    <n v="120.3182"/>
    <x v="0"/>
  </r>
  <r>
    <d v="2025-02-01T00:00:00"/>
    <x v="1"/>
    <s v="Brand Awareness"/>
    <n v="2464.4899999999998"/>
    <n v="91"/>
    <n v="27"/>
    <n v="128882.05"/>
    <n v="29.670300000000001"/>
    <n v="51.2956"/>
    <x v="0"/>
  </r>
  <r>
    <d v="2025-12-24T00:00:00"/>
    <x v="1"/>
    <s v="Festival Offer"/>
    <n v="5454.33"/>
    <n v="32"/>
    <n v="8"/>
    <n v="34248.85"/>
    <n v="25"/>
    <n v="5.2792000000000003"/>
    <x v="0"/>
  </r>
  <r>
    <d v="2025-12-04T00:00:00"/>
    <x v="4"/>
    <s v="Retargeting Campaign"/>
    <n v="7098.19"/>
    <n v="215"/>
    <n v="68"/>
    <n v="328423.21999999997"/>
    <n v="31.6279"/>
    <n v="45.268599999999999"/>
    <x v="0"/>
  </r>
  <r>
    <d v="2025-06-01T00:00:00"/>
    <x v="1"/>
    <s v="Lead Generation"/>
    <n v="13673.44"/>
    <n v="64"/>
    <n v="16"/>
    <n v="52861.53"/>
    <n v="25"/>
    <n v="2.8660000000000001"/>
    <x v="0"/>
  </r>
  <r>
    <d v="2025-05-15T00:00:00"/>
    <x v="2"/>
    <s v="Lead Generation"/>
    <n v="12795.41"/>
    <n v="81"/>
    <n v="16"/>
    <n v="40299.53"/>
    <n v="19.7531"/>
    <n v="2.1495000000000002"/>
    <x v="0"/>
  </r>
  <r>
    <d v="2025-03-01T00:00:00"/>
    <x v="4"/>
    <s v="Retargeting Campaign"/>
    <n v="13516.1"/>
    <n v="82"/>
    <n v="29"/>
    <n v="164641.19"/>
    <n v="35.365900000000003"/>
    <n v="11.181100000000001"/>
    <x v="0"/>
  </r>
  <r>
    <d v="2025-09-15T00:00:00"/>
    <x v="4"/>
    <s v="Retargeting Campaign"/>
    <n v="12126.96"/>
    <n v="143"/>
    <n v="25"/>
    <n v="148526.32"/>
    <n v="17.482500000000002"/>
    <n v="11.2476"/>
    <x v="0"/>
  </r>
  <r>
    <d v="2025-06-25T00:00:00"/>
    <x v="4"/>
    <s v="Brand Awareness"/>
    <n v="9238.52"/>
    <n v="72"/>
    <n v="12"/>
    <n v="52543.85"/>
    <n v="16.666699999999999"/>
    <n v="4.6875"/>
    <x v="0"/>
  </r>
  <r>
    <d v="2025-09-04T00:00:00"/>
    <x v="0"/>
    <s v="New Product Launch"/>
    <n v="9009.01"/>
    <n v="93"/>
    <n v="24"/>
    <n v="105758.23"/>
    <n v="25.8065"/>
    <n v="10.7392"/>
    <x v="0"/>
  </r>
  <r>
    <d v="2025-06-04T00:00:00"/>
    <x v="1"/>
    <s v="Lead Generation"/>
    <n v="1570.77"/>
    <n v="69"/>
    <n v="16"/>
    <n v="56711.12"/>
    <n v="23.188400000000001"/>
    <n v="35.103999999999999"/>
    <x v="0"/>
  </r>
  <r>
    <d v="2025-08-17T00:00:00"/>
    <x v="4"/>
    <s v="New Product Launch"/>
    <n v="12406.48"/>
    <n v="198"/>
    <n v="50"/>
    <n v="154801.18"/>
    <n v="25.252500000000001"/>
    <n v="11.477399999999999"/>
    <x v="0"/>
  </r>
  <r>
    <d v="2025-01-22T00:00:00"/>
    <x v="0"/>
    <s v="Brand Awareness"/>
    <n v="5268.92"/>
    <n v="180"/>
    <n v="34"/>
    <n v="129606.48"/>
    <n v="18.8889"/>
    <n v="23.598299999999998"/>
    <x v="0"/>
  </r>
  <r>
    <d v="2025-11-04T00:00:00"/>
    <x v="4"/>
    <s v="Retargeting Campaign"/>
    <n v="13385.65"/>
    <n v="191"/>
    <n v="15"/>
    <n v="18493.5"/>
    <n v="7.8533999999999997"/>
    <n v="0.38159999999999999"/>
    <x v="0"/>
  </r>
  <r>
    <d v="2025-01-18T00:00:00"/>
    <x v="3"/>
    <s v="Lead Generation"/>
    <n v="12375.39"/>
    <n v="180"/>
    <n v="48"/>
    <n v="124852.25"/>
    <n v="26.666699999999999"/>
    <n v="9.0888000000000009"/>
    <x v="0"/>
  </r>
  <r>
    <d v="2025-07-01T00:00:00"/>
    <x v="4"/>
    <s v="New Product Launch"/>
    <n v="14639.17"/>
    <n v="121"/>
    <n v="21"/>
    <n v="107828.52"/>
    <n v="17.355399999999999"/>
    <n v="6.3658000000000001"/>
    <x v="0"/>
  </r>
  <r>
    <d v="2025-09-04T00:00:00"/>
    <x v="2"/>
    <s v="Brand Awareness"/>
    <n v="4489.75"/>
    <n v="55"/>
    <n v="8"/>
    <n v="39776.720000000001"/>
    <n v="14.545500000000001"/>
    <n v="7.8594999999999997"/>
    <x v="0"/>
  </r>
  <r>
    <d v="2025-03-06T00:00:00"/>
    <x v="2"/>
    <s v="New Product Launch"/>
    <n v="1306.54"/>
    <n v="70"/>
    <n v="16"/>
    <n v="53372.38"/>
    <n v="22.857099999999999"/>
    <n v="39.850200000000001"/>
    <x v="0"/>
  </r>
  <r>
    <d v="2025-03-09T00:00:00"/>
    <x v="4"/>
    <s v="Festival Offer"/>
    <n v="9674.2900000000009"/>
    <n v="126"/>
    <n v="44"/>
    <n v="124666.99"/>
    <n v="34.9206"/>
    <n v="11.8864"/>
    <x v="0"/>
  </r>
  <r>
    <d v="2025-07-07T00:00:00"/>
    <x v="3"/>
    <s v="Lead Generation"/>
    <n v="1555.51"/>
    <n v="130"/>
    <n v="31"/>
    <n v="61069.85"/>
    <n v="23.8462"/>
    <n v="38.260300000000001"/>
    <x v="0"/>
  </r>
  <r>
    <d v="2025-07-29T00:00:00"/>
    <x v="0"/>
    <s v="New Product Launch"/>
    <n v="1107.1099999999999"/>
    <n v="149"/>
    <n v="58"/>
    <n v="194876.39"/>
    <n v="38.926200000000001"/>
    <n v="175.02260000000001"/>
    <x v="0"/>
  </r>
  <r>
    <d v="2025-04-08T00:00:00"/>
    <x v="4"/>
    <s v="Brand Awareness"/>
    <n v="9528.8799999999992"/>
    <n v="215"/>
    <n v="47"/>
    <n v="71895.539999999994"/>
    <n v="21.860499999999998"/>
    <n v="6.5449999999999999"/>
    <x v="0"/>
  </r>
  <r>
    <d v="2025-08-29T00:00:00"/>
    <x v="3"/>
    <s v="Brand Awareness"/>
    <n v="8355.19"/>
    <n v="142"/>
    <n v="13"/>
    <n v="44068.36"/>
    <n v="9.1548999999999996"/>
    <n v="4.2744"/>
    <x v="0"/>
  </r>
  <r>
    <d v="2025-06-12T00:00:00"/>
    <x v="0"/>
    <s v="Lead Generation"/>
    <n v="7464.05"/>
    <n v="224"/>
    <n v="63"/>
    <n v="367717.29"/>
    <n v="28.125"/>
    <n v="48.265099999999997"/>
    <x v="0"/>
  </r>
  <r>
    <d v="2025-01-21T00:00:00"/>
    <x v="0"/>
    <s v="Brand Awareness"/>
    <n v="4637.24"/>
    <n v="127"/>
    <n v="10"/>
    <n v="52604.9"/>
    <n v="7.8739999999999997"/>
    <n v="10.343999999999999"/>
    <x v="0"/>
  </r>
  <r>
    <d v="2025-08-09T00:00:00"/>
    <x v="2"/>
    <s v="Lead Generation"/>
    <n v="2995.37"/>
    <n v="178"/>
    <n v="24"/>
    <n v="56498.38"/>
    <n v="13.4831"/>
    <n v="17.861899999999999"/>
    <x v="0"/>
  </r>
  <r>
    <d v="2025-12-28T00:00:00"/>
    <x v="4"/>
    <s v="New Product Launch"/>
    <n v="5035.59"/>
    <n v="199"/>
    <n v="50"/>
    <n v="192673.91"/>
    <n v="25.125599999999999"/>
    <n v="37.2624"/>
    <x v="0"/>
  </r>
  <r>
    <d v="2025-06-03T00:00:00"/>
    <x v="1"/>
    <s v="Festival Offer"/>
    <n v="8046.61"/>
    <n v="29"/>
    <n v="6"/>
    <n v="32684.06"/>
    <n v="20.689699999999998"/>
    <n v="3.0617999999999999"/>
    <x v="0"/>
  </r>
  <r>
    <d v="2025-09-25T00:00:00"/>
    <x v="2"/>
    <s v="New Product Launch"/>
    <n v="4615.91"/>
    <n v="204"/>
    <n v="24"/>
    <n v="98797.96"/>
    <n v="11.764699999999999"/>
    <n v="20.4038"/>
    <x v="0"/>
  </r>
  <r>
    <d v="2025-05-20T00:00:00"/>
    <x v="1"/>
    <s v="Festival Offer"/>
    <n v="12656.33"/>
    <n v="139"/>
    <n v="44"/>
    <n v="127581.64"/>
    <n v="31.654699999999998"/>
    <n v="9.0805000000000007"/>
    <x v="0"/>
  </r>
  <r>
    <d v="2025-03-14T00:00:00"/>
    <x v="0"/>
    <s v="Brand Awareness"/>
    <n v="13731.63"/>
    <n v="217"/>
    <n v="6"/>
    <n v="23473.73"/>
    <n v="2.7650000000000001"/>
    <n v="0.70950000000000002"/>
    <x v="0"/>
  </r>
  <r>
    <d v="2025-11-29T00:00:00"/>
    <x v="4"/>
    <s v="Retargeting Campaign"/>
    <n v="12813.49"/>
    <n v="103"/>
    <n v="25"/>
    <n v="137578.32"/>
    <n v="24.271799999999999"/>
    <n v="9.7370000000000001"/>
    <x v="0"/>
  </r>
  <r>
    <d v="2025-12-15T00:00:00"/>
    <x v="4"/>
    <s v="Retargeting Campaign"/>
    <n v="1359.78"/>
    <n v="107"/>
    <n v="32"/>
    <n v="93632.78"/>
    <n v="29.906500000000001"/>
    <n v="67.858800000000002"/>
    <x v="0"/>
  </r>
  <r>
    <d v="2025-12-13T00:00:00"/>
    <x v="1"/>
    <s v="Festival Offer"/>
    <n v="8194.6299999999992"/>
    <n v="58"/>
    <n v="13"/>
    <n v="74637.19"/>
    <n v="22.413799999999998"/>
    <n v="8.1081000000000003"/>
    <x v="0"/>
  </r>
  <r>
    <d v="2025-11-02T00:00:00"/>
    <x v="1"/>
    <s v="Festival Offer"/>
    <n v="5060.29"/>
    <n v="21"/>
    <n v="4"/>
    <n v="20970.09"/>
    <n v="19.047599999999999"/>
    <n v="3.1440000000000001"/>
    <x v="0"/>
  </r>
  <r>
    <d v="2025-03-04T00:00:00"/>
    <x v="4"/>
    <s v="Brand Awareness"/>
    <n v="14506.7"/>
    <n v="28"/>
    <n v="11"/>
    <n v="51577.43"/>
    <n v="39.285699999999999"/>
    <n v="2.5554000000000001"/>
    <x v="0"/>
  </r>
  <r>
    <d v="2025-12-13T00:00:00"/>
    <x v="3"/>
    <s v="Retargeting Campaign"/>
    <n v="8282.07"/>
    <n v="171"/>
    <n v="15"/>
    <n v="37333.050000000003"/>
    <n v="8.7719000000000005"/>
    <n v="3.5076999999999998"/>
    <x v="0"/>
  </r>
  <r>
    <d v="2025-02-13T00:00:00"/>
    <x v="2"/>
    <s v="Festival Offer"/>
    <n v="12565.46"/>
    <n v="23"/>
    <n v="3"/>
    <n v="4634.1400000000003"/>
    <n v="13.0435"/>
    <n v="-0.63119999999999998"/>
    <x v="1"/>
  </r>
  <r>
    <d v="2025-05-29T00:00:00"/>
    <x v="1"/>
    <s v="Retargeting Campaign"/>
    <n v="5619.95"/>
    <n v="29"/>
    <n v="2"/>
    <n v="2388.9299999999998"/>
    <n v="6.8966000000000003"/>
    <n v="-0.57489999999999997"/>
    <x v="1"/>
  </r>
  <r>
    <d v="2025-04-22T00:00:00"/>
    <x v="4"/>
    <s v="New Product Launch"/>
    <n v="4282.71"/>
    <n v="73"/>
    <n v="9"/>
    <n v="32016.22"/>
    <n v="12.328799999999999"/>
    <n v="6.4756999999999998"/>
    <x v="0"/>
  </r>
  <r>
    <d v="2025-05-10T00:00:00"/>
    <x v="1"/>
    <s v="New Product Launch"/>
    <n v="3739.05"/>
    <n v="85"/>
    <n v="28"/>
    <n v="119843.58"/>
    <n v="32.941200000000002"/>
    <n v="31.0519"/>
    <x v="0"/>
  </r>
  <r>
    <d v="2025-07-13T00:00:00"/>
    <x v="4"/>
    <s v="Lead Generation"/>
    <n v="3579.66"/>
    <n v="107"/>
    <n v="31"/>
    <n v="37196.949999999997"/>
    <n v="28.972000000000001"/>
    <n v="9.3911999999999995"/>
    <x v="0"/>
  </r>
  <r>
    <d v="2025-05-18T00:00:00"/>
    <x v="1"/>
    <s v="Brand Awareness"/>
    <n v="8462.08"/>
    <n v="104"/>
    <n v="40"/>
    <n v="67910.86"/>
    <n v="38.461500000000001"/>
    <n v="7.0252999999999997"/>
    <x v="0"/>
  </r>
  <r>
    <d v="2025-11-13T00:00:00"/>
    <x v="2"/>
    <s v="Festival Offer"/>
    <n v="5655.39"/>
    <n v="153"/>
    <n v="21"/>
    <n v="92165.87"/>
    <n v="13.7255"/>
    <n v="15.297000000000001"/>
    <x v="0"/>
  </r>
  <r>
    <d v="2025-01-04T00:00:00"/>
    <x v="1"/>
    <s v="Brand Awareness"/>
    <n v="5143.13"/>
    <n v="237"/>
    <n v="51"/>
    <n v="227119.07"/>
    <n v="21.518999999999998"/>
    <n v="43.159700000000001"/>
    <x v="0"/>
  </r>
  <r>
    <d v="2025-05-11T00:00:00"/>
    <x v="0"/>
    <s v="New Product Launch"/>
    <n v="8913.68"/>
    <n v="153"/>
    <n v="18"/>
    <n v="50523.95"/>
    <n v="11.764699999999999"/>
    <n v="4.6680999999999999"/>
    <x v="0"/>
  </r>
  <r>
    <d v="2025-06-11T00:00:00"/>
    <x v="4"/>
    <s v="Brand Awareness"/>
    <n v="11450.44"/>
    <n v="232"/>
    <n v="10"/>
    <n v="10546.12"/>
    <n v="4.3102999999999998"/>
    <n v="-7.9000000000000001E-2"/>
    <x v="1"/>
  </r>
  <r>
    <d v="2025-01-31T00:00:00"/>
    <x v="1"/>
    <s v="Festival Offer"/>
    <n v="11239.74"/>
    <n v="52"/>
    <n v="3"/>
    <n v="7463.32"/>
    <n v="5.7691999999999997"/>
    <n v="-0.33600000000000002"/>
    <x v="1"/>
  </r>
  <r>
    <d v="2025-10-29T00:00:00"/>
    <x v="4"/>
    <s v="New Product Launch"/>
    <n v="3948.77"/>
    <n v="110"/>
    <n v="8"/>
    <n v="31980.97"/>
    <n v="7.2727000000000004"/>
    <n v="7.0990000000000002"/>
    <x v="0"/>
  </r>
  <r>
    <d v="2025-09-04T00:00:00"/>
    <x v="1"/>
    <s v="Brand Awareness"/>
    <n v="11789.76"/>
    <n v="33"/>
    <n v="10"/>
    <n v="12818.29"/>
    <n v="30.303000000000001"/>
    <n v="8.72E-2"/>
    <x v="0"/>
  </r>
  <r>
    <d v="2025-10-24T00:00:00"/>
    <x v="1"/>
    <s v="Festival Offer"/>
    <n v="13622.9"/>
    <n v="40"/>
    <n v="8"/>
    <n v="33563.599999999999"/>
    <n v="20"/>
    <n v="1.4638"/>
    <x v="0"/>
  </r>
  <r>
    <d v="2025-05-31T00:00:00"/>
    <x v="2"/>
    <s v="Festival Offer"/>
    <n v="2182.8200000000002"/>
    <n v="60"/>
    <n v="3"/>
    <n v="5209.8599999999997"/>
    <n v="5"/>
    <n v="1.3868"/>
    <x v="0"/>
  </r>
  <r>
    <d v="2025-08-12T00:00:00"/>
    <x v="2"/>
    <s v="Brand Awareness"/>
    <n v="2858.6"/>
    <n v="27"/>
    <n v="7"/>
    <n v="31915.83"/>
    <n v="25.925899999999999"/>
    <n v="10.1648"/>
    <x v="0"/>
  </r>
  <r>
    <d v="2025-01-29T00:00:00"/>
    <x v="0"/>
    <s v="Festival Offer"/>
    <n v="13297.92"/>
    <n v="179"/>
    <n v="68"/>
    <n v="370169.22"/>
    <n v="37.988799999999998"/>
    <n v="26.836600000000001"/>
    <x v="0"/>
  </r>
  <r>
    <d v="2025-09-11T00:00:00"/>
    <x v="4"/>
    <s v="Retargeting Campaign"/>
    <n v="5868.14"/>
    <n v="84"/>
    <n v="5"/>
    <n v="14318.85"/>
    <n v="5.9523999999999999"/>
    <n v="1.4400999999999999"/>
    <x v="0"/>
  </r>
  <r>
    <d v="2025-12-06T00:00:00"/>
    <x v="2"/>
    <s v="Retargeting Campaign"/>
    <n v="10983.72"/>
    <n v="111"/>
    <n v="32"/>
    <n v="65108.42"/>
    <n v="28.828800000000001"/>
    <n v="4.9276999999999997"/>
    <x v="0"/>
  </r>
  <r>
    <d v="2025-05-10T00:00:00"/>
    <x v="4"/>
    <s v="Retargeting Campaign"/>
    <n v="2494.66"/>
    <n v="143"/>
    <n v="18"/>
    <n v="48202.45"/>
    <n v="12.587400000000001"/>
    <n v="18.322299999999998"/>
    <x v="0"/>
  </r>
  <r>
    <d v="2025-05-31T00:00:00"/>
    <x v="4"/>
    <s v="Lead Generation"/>
    <n v="6148.19"/>
    <n v="114"/>
    <n v="14"/>
    <n v="33477.589999999997"/>
    <n v="12.2807"/>
    <n v="4.4451000000000001"/>
    <x v="0"/>
  </r>
  <r>
    <d v="2025-03-16T00:00:00"/>
    <x v="0"/>
    <s v="Retargeting Campaign"/>
    <n v="1508.46"/>
    <n v="97"/>
    <n v="21"/>
    <n v="85174.14"/>
    <n v="21.6495"/>
    <n v="55.464300000000001"/>
    <x v="0"/>
  </r>
  <r>
    <d v="2025-05-17T00:00:00"/>
    <x v="0"/>
    <s v="New Product Launch"/>
    <n v="1162.4000000000001"/>
    <n v="245"/>
    <n v="10"/>
    <n v="56162.39"/>
    <n v="4.0815999999999999"/>
    <n v="47.315899999999999"/>
    <x v="0"/>
  </r>
  <r>
    <d v="2025-07-09T00:00:00"/>
    <x v="0"/>
    <s v="Retargeting Campaign"/>
    <n v="7557.32"/>
    <n v="109"/>
    <n v="26"/>
    <n v="91782.12"/>
    <n v="23.853200000000001"/>
    <n v="11.1448"/>
    <x v="0"/>
  </r>
  <r>
    <d v="2025-02-12T00:00:00"/>
    <x v="1"/>
    <s v="Lead Generation"/>
    <n v="4296.97"/>
    <n v="73"/>
    <n v="4"/>
    <n v="11136.7"/>
    <n v="5.4794999999999998"/>
    <n v="1.5918000000000001"/>
    <x v="0"/>
  </r>
  <r>
    <d v="2025-10-09T00:00:00"/>
    <x v="4"/>
    <s v="Festival Offer"/>
    <n v="5447.95"/>
    <n v="216"/>
    <n v="58"/>
    <n v="226513.71"/>
    <n v="26.851900000000001"/>
    <n v="40.577800000000003"/>
    <x v="0"/>
  </r>
  <r>
    <d v="2025-01-15T00:00:00"/>
    <x v="4"/>
    <s v="New Product Launch"/>
    <n v="4376.84"/>
    <n v="162"/>
    <n v="18"/>
    <n v="104540.17"/>
    <n v="11.1111"/>
    <n v="22.884899999999998"/>
    <x v="0"/>
  </r>
  <r>
    <d v="2025-08-14T00:00:00"/>
    <x v="4"/>
    <s v="Brand Awareness"/>
    <n v="7825.54"/>
    <n v="177"/>
    <n v="68"/>
    <n v="227503.74"/>
    <n v="38.418100000000003"/>
    <n v="28.071999999999999"/>
    <x v="0"/>
  </r>
  <r>
    <d v="2025-11-07T00:00:00"/>
    <x v="0"/>
    <s v="Retargeting Campaign"/>
    <n v="8755.01"/>
    <n v="53"/>
    <n v="8"/>
    <n v="30793.57"/>
    <n v="15.0943"/>
    <n v="2.5173000000000001"/>
    <x v="0"/>
  </r>
  <r>
    <d v="2025-10-02T00:00:00"/>
    <x v="3"/>
    <s v="Retargeting Campaign"/>
    <n v="12242.85"/>
    <n v="65"/>
    <n v="6"/>
    <n v="33350.9"/>
    <n v="9.2308000000000003"/>
    <n v="1.7241"/>
    <x v="0"/>
  </r>
  <r>
    <d v="2025-08-29T00:00:00"/>
    <x v="0"/>
    <s v="Lead Generation"/>
    <n v="14228.77"/>
    <n v="170"/>
    <n v="29"/>
    <n v="152273.14000000001"/>
    <n v="17.058800000000002"/>
    <n v="9.7018000000000004"/>
    <x v="0"/>
  </r>
  <r>
    <d v="2025-01-09T00:00:00"/>
    <x v="1"/>
    <s v="Retargeting Campaign"/>
    <n v="3665.6"/>
    <n v="225"/>
    <n v="29"/>
    <n v="116761.31"/>
    <n v="12.8889"/>
    <n v="30.853300000000001"/>
    <x v="0"/>
  </r>
  <r>
    <d v="2025-04-30T00:00:00"/>
    <x v="0"/>
    <s v="Brand Awareness"/>
    <n v="14652.18"/>
    <n v="178"/>
    <n v="47"/>
    <n v="190657.09"/>
    <n v="26.404499999999999"/>
    <n v="12.0122"/>
    <x v="0"/>
  </r>
  <r>
    <d v="2025-04-24T00:00:00"/>
    <x v="3"/>
    <s v="Lead Generation"/>
    <n v="14520.23"/>
    <n v="137"/>
    <n v="25"/>
    <n v="102898.81"/>
    <n v="18.248200000000001"/>
    <n v="6.0865999999999998"/>
    <x v="0"/>
  </r>
  <r>
    <d v="2025-05-14T00:00:00"/>
    <x v="0"/>
    <s v="Retargeting Campaign"/>
    <n v="13468.35"/>
    <n v="77"/>
    <n v="30"/>
    <n v="162314.72"/>
    <n v="38.960999999999999"/>
    <n v="11.051600000000001"/>
    <x v="0"/>
  </r>
  <r>
    <d v="2025-03-24T00:00:00"/>
    <x v="3"/>
    <s v="Festival Offer"/>
    <n v="3530.3"/>
    <n v="107"/>
    <n v="21"/>
    <n v="108814.9"/>
    <n v="19.626200000000001"/>
    <n v="29.8231"/>
    <x v="0"/>
  </r>
  <r>
    <d v="2025-03-14T00:00:00"/>
    <x v="3"/>
    <s v="Retargeting Campaign"/>
    <n v="6058.8"/>
    <n v="76"/>
    <n v="4"/>
    <n v="18625.11"/>
    <n v="5.2632000000000003"/>
    <n v="2.0741000000000001"/>
    <x v="0"/>
  </r>
  <r>
    <d v="2025-06-02T00:00:00"/>
    <x v="0"/>
    <s v="Brand Awareness"/>
    <n v="1763.36"/>
    <n v="37"/>
    <n v="13"/>
    <n v="30586.880000000001"/>
    <n v="35.135100000000001"/>
    <n v="16.345800000000001"/>
    <x v="0"/>
  </r>
  <r>
    <d v="2025-02-19T00:00:00"/>
    <x v="3"/>
    <s v="Retargeting Campaign"/>
    <n v="11302.32"/>
    <n v="156"/>
    <n v="14"/>
    <n v="50885.56"/>
    <n v="8.9743999999999993"/>
    <n v="3.5022000000000002"/>
    <x v="0"/>
  </r>
  <r>
    <d v="2025-05-03T00:00:00"/>
    <x v="0"/>
    <s v="Brand Awareness"/>
    <n v="10879.72"/>
    <n v="20"/>
    <n v="4"/>
    <n v="14566.19"/>
    <n v="20"/>
    <n v="0.33879999999999999"/>
    <x v="0"/>
  </r>
  <r>
    <d v="2025-03-05T00:00:00"/>
    <x v="1"/>
    <s v="Festival Offer"/>
    <n v="12592.91"/>
    <n v="29"/>
    <n v="11"/>
    <n v="34461.519999999997"/>
    <n v="37.930999999999997"/>
    <n v="1.7365999999999999"/>
    <x v="0"/>
  </r>
  <r>
    <d v="2025-09-13T00:00:00"/>
    <x v="2"/>
    <s v="Lead Generation"/>
    <n v="4845.87"/>
    <n v="126"/>
    <n v="19"/>
    <n v="69255.47"/>
    <n v="15.0794"/>
    <n v="13.291600000000001"/>
    <x v="0"/>
  </r>
  <r>
    <d v="2025-07-07T00:00:00"/>
    <x v="1"/>
    <s v="New Product Launch"/>
    <n v="3045.16"/>
    <n v="38"/>
    <n v="11"/>
    <n v="31847.91"/>
    <n v="28.947399999999998"/>
    <n v="9.4585000000000008"/>
    <x v="0"/>
  </r>
  <r>
    <d v="2025-08-15T00:00:00"/>
    <x v="3"/>
    <s v="Festival Offer"/>
    <n v="10587.82"/>
    <n v="99"/>
    <n v="33"/>
    <n v="33586.54"/>
    <n v="33.333300000000001"/>
    <n v="2.1722000000000001"/>
    <x v="0"/>
  </r>
  <r>
    <d v="2025-04-02T00:00:00"/>
    <x v="1"/>
    <s v="Lead Generation"/>
    <n v="14924.62"/>
    <n v="126"/>
    <n v="8"/>
    <n v="30946.59"/>
    <n v="6.3491999999999997"/>
    <n v="1.0734999999999999"/>
    <x v="0"/>
  </r>
  <r>
    <d v="2025-10-30T00:00:00"/>
    <x v="3"/>
    <s v="New Product Launch"/>
    <n v="2523.9499999999998"/>
    <n v="53"/>
    <n v="17"/>
    <n v="52478.82"/>
    <n v="32.075499999999998"/>
    <n v="19.792300000000001"/>
    <x v="0"/>
  </r>
  <r>
    <d v="2025-03-25T00:00:00"/>
    <x v="4"/>
    <s v="Lead Generation"/>
    <n v="12678.82"/>
    <n v="249"/>
    <n v="30"/>
    <n v="105074.52"/>
    <n v="12.0482"/>
    <n v="7.2873999999999999"/>
    <x v="0"/>
  </r>
  <r>
    <d v="2025-06-21T00:00:00"/>
    <x v="1"/>
    <s v="Lead Generation"/>
    <n v="1735.75"/>
    <n v="75"/>
    <n v="16"/>
    <n v="57872.22"/>
    <n v="21.333300000000001"/>
    <n v="32.341299999999997"/>
    <x v="0"/>
  </r>
  <r>
    <d v="2025-01-12T00:00:00"/>
    <x v="3"/>
    <s v="Lead Generation"/>
    <n v="5159.2700000000004"/>
    <n v="237"/>
    <n v="8"/>
    <n v="43616.05"/>
    <n v="3.3755000000000002"/>
    <n v="7.4539"/>
    <x v="0"/>
  </r>
  <r>
    <d v="2025-02-22T00:00:00"/>
    <x v="2"/>
    <s v="New Product Launch"/>
    <n v="3936.94"/>
    <n v="86"/>
    <n v="34"/>
    <n v="148117.57999999999"/>
    <n v="39.5349"/>
    <n v="36.622500000000002"/>
    <x v="0"/>
  </r>
  <r>
    <d v="2025-06-26T00:00:00"/>
    <x v="2"/>
    <s v="Lead Generation"/>
    <n v="14346.93"/>
    <n v="116"/>
    <n v="31"/>
    <n v="34671.15"/>
    <n v="26.7241"/>
    <n v="1.4166000000000001"/>
    <x v="0"/>
  </r>
  <r>
    <d v="2025-12-02T00:00:00"/>
    <x v="1"/>
    <s v="Festival Offer"/>
    <n v="9010.99"/>
    <n v="120"/>
    <n v="31"/>
    <n v="156595.41"/>
    <n v="25.833300000000001"/>
    <n v="16.378299999999999"/>
    <x v="0"/>
  </r>
  <r>
    <d v="2025-10-18T00:00:00"/>
    <x v="3"/>
    <s v="Brand Awareness"/>
    <n v="9346.19"/>
    <n v="50"/>
    <n v="2"/>
    <n v="2232.84"/>
    <n v="4"/>
    <n v="-0.7611"/>
    <x v="1"/>
  </r>
  <r>
    <d v="2025-12-16T00:00:00"/>
    <x v="0"/>
    <s v="Festival Offer"/>
    <n v="11204.11"/>
    <n v="133"/>
    <n v="12"/>
    <n v="63978.43"/>
    <n v="9.0226000000000006"/>
    <n v="4.7103000000000002"/>
    <x v="0"/>
  </r>
  <r>
    <d v="2025-11-11T00:00:00"/>
    <x v="1"/>
    <s v="Lead Generation"/>
    <n v="2923"/>
    <n v="103"/>
    <n v="33"/>
    <n v="105504.93"/>
    <n v="32.038800000000002"/>
    <n v="35.094700000000003"/>
    <x v="0"/>
  </r>
  <r>
    <d v="2025-05-18T00:00:00"/>
    <x v="0"/>
    <s v="Brand Awareness"/>
    <n v="12256.25"/>
    <n v="190"/>
    <n v="23"/>
    <n v="47944.26"/>
    <n v="12.1053"/>
    <n v="2.9117999999999999"/>
    <x v="0"/>
  </r>
  <r>
    <d v="2025-10-28T00:00:00"/>
    <x v="3"/>
    <s v="Retargeting Campaign"/>
    <n v="9777.8700000000008"/>
    <n v="247"/>
    <n v="28"/>
    <n v="115120.88"/>
    <n v="11.336"/>
    <n v="10.7736"/>
    <x v="0"/>
  </r>
  <r>
    <d v="2025-12-28T00:00:00"/>
    <x v="2"/>
    <s v="Lead Generation"/>
    <n v="14766.77"/>
    <n v="56"/>
    <n v="6"/>
    <n v="33267.22"/>
    <n v="10.7143"/>
    <n v="1.2527999999999999"/>
    <x v="0"/>
  </r>
  <r>
    <d v="2025-04-01T00:00:00"/>
    <x v="4"/>
    <s v="Festival Offer"/>
    <n v="4009.05"/>
    <n v="52"/>
    <n v="9"/>
    <n v="35589.660000000003"/>
    <n v="17.307700000000001"/>
    <n v="7.8773"/>
    <x v="0"/>
  </r>
  <r>
    <d v="2025-06-26T00:00:00"/>
    <x v="2"/>
    <s v="Brand Awareness"/>
    <n v="7157.03"/>
    <n v="172"/>
    <n v="51"/>
    <n v="219517.6"/>
    <n v="29.651199999999999"/>
    <n v="29.671600000000002"/>
    <x v="0"/>
  </r>
  <r>
    <d v="2025-10-08T00:00:00"/>
    <x v="3"/>
    <s v="Brand Awareness"/>
    <n v="12042.5"/>
    <n v="89"/>
    <n v="16"/>
    <n v="72939.39"/>
    <n v="17.977499999999999"/>
    <n v="5.0568"/>
    <x v="0"/>
  </r>
  <r>
    <d v="2025-12-02T00:00:00"/>
    <x v="4"/>
    <s v="New Product Launch"/>
    <n v="13371.46"/>
    <n v="68"/>
    <n v="12"/>
    <n v="51821.1"/>
    <n v="17.647099999999998"/>
    <n v="2.8755000000000002"/>
    <x v="0"/>
  </r>
  <r>
    <d v="2025-02-17T00:00:00"/>
    <x v="3"/>
    <s v="Retargeting Campaign"/>
    <n v="8810.18"/>
    <n v="61"/>
    <n v="13"/>
    <n v="41671.83"/>
    <n v="21.311499999999999"/>
    <n v="3.73"/>
    <x v="0"/>
  </r>
  <r>
    <d v="2025-11-24T00:00:00"/>
    <x v="3"/>
    <s v="Brand Awareness"/>
    <n v="13645.33"/>
    <n v="118"/>
    <n v="24"/>
    <n v="25224.59"/>
    <n v="20.338999999999999"/>
    <n v="0.84860000000000002"/>
    <x v="0"/>
  </r>
  <r>
    <d v="2025-04-05T00:00:00"/>
    <x v="0"/>
    <s v="Festival Offer"/>
    <n v="7005.69"/>
    <n v="217"/>
    <n v="4"/>
    <n v="15747.34"/>
    <n v="1.8432999999999999"/>
    <n v="1.2478"/>
    <x v="0"/>
  </r>
  <r>
    <d v="2025-03-09T00:00:00"/>
    <x v="0"/>
    <s v="Brand Awareness"/>
    <n v="5047.68"/>
    <n v="180"/>
    <n v="62"/>
    <n v="119693.31"/>
    <n v="34.444400000000002"/>
    <n v="22.712499999999999"/>
    <x v="0"/>
  </r>
  <r>
    <d v="2025-03-19T00:00:00"/>
    <x v="1"/>
    <s v="Lead Generation"/>
    <n v="10805.94"/>
    <n v="53"/>
    <n v="8"/>
    <n v="18630.78"/>
    <n v="15.0943"/>
    <n v="0.72409999999999997"/>
    <x v="0"/>
  </r>
  <r>
    <d v="2025-12-10T00:00:00"/>
    <x v="4"/>
    <s v="Lead Generation"/>
    <n v="8604.59"/>
    <n v="204"/>
    <n v="81"/>
    <n v="266420.87"/>
    <n v="39.7059"/>
    <n v="29.962599999999998"/>
    <x v="0"/>
  </r>
  <r>
    <d v="2025-06-01T00:00:00"/>
    <x v="4"/>
    <s v="Festival Offer"/>
    <n v="14589.32"/>
    <n v="37"/>
    <n v="12"/>
    <n v="48316.19"/>
    <n v="32.432400000000001"/>
    <n v="2.3117999999999999"/>
    <x v="0"/>
  </r>
  <r>
    <d v="2025-09-10T00:00:00"/>
    <x v="0"/>
    <s v="New Product Launch"/>
    <n v="5325.34"/>
    <n v="194"/>
    <n v="46"/>
    <n v="227327.07"/>
    <n v="23.711300000000001"/>
    <n v="41.687800000000003"/>
    <x v="0"/>
  </r>
  <r>
    <d v="2025-12-24T00:00:00"/>
    <x v="4"/>
    <s v="Retargeting Campaign"/>
    <n v="5349.95"/>
    <n v="246"/>
    <n v="32"/>
    <n v="36450.86"/>
    <n v="13.008100000000001"/>
    <n v="5.8132999999999999"/>
    <x v="0"/>
  </r>
  <r>
    <d v="2025-09-10T00:00:00"/>
    <x v="2"/>
    <s v="Lead Generation"/>
    <n v="3725.19"/>
    <n v="175"/>
    <n v="26"/>
    <n v="100257.48"/>
    <n v="14.857100000000001"/>
    <n v="25.913399999999999"/>
    <x v="0"/>
  </r>
  <r>
    <d v="2025-07-06T00:00:00"/>
    <x v="3"/>
    <s v="New Product Launch"/>
    <n v="10765.59"/>
    <n v="60"/>
    <n v="4"/>
    <n v="20901.23"/>
    <n v="6.6666999999999996"/>
    <n v="0.9415"/>
    <x v="0"/>
  </r>
  <r>
    <d v="2025-04-24T00:00:00"/>
    <x v="0"/>
    <s v="Festival Offer"/>
    <n v="11614.37"/>
    <n v="85"/>
    <n v="8"/>
    <n v="43353.58"/>
    <n v="9.4117999999999995"/>
    <n v="2.7328000000000001"/>
    <x v="0"/>
  </r>
  <r>
    <d v="2025-07-27T00:00:00"/>
    <x v="4"/>
    <s v="Festival Offer"/>
    <n v="7300.13"/>
    <n v="141"/>
    <n v="15"/>
    <n v="73091.19"/>
    <n v="10.638299999999999"/>
    <n v="9.0122999999999998"/>
    <x v="0"/>
  </r>
  <r>
    <d v="2025-10-28T00:00:00"/>
    <x v="0"/>
    <s v="Festival Offer"/>
    <n v="9146.84"/>
    <n v="122"/>
    <n v="33"/>
    <n v="86931.83"/>
    <n v="27.049199999999999"/>
    <n v="8.5039999999999996"/>
    <x v="0"/>
  </r>
  <r>
    <d v="2025-10-17T00:00:00"/>
    <x v="2"/>
    <s v="Festival Offer"/>
    <n v="5121.7"/>
    <n v="51"/>
    <n v="2"/>
    <n v="10982.98"/>
    <n v="3.9216000000000002"/>
    <n v="1.1444000000000001"/>
    <x v="0"/>
  </r>
  <r>
    <d v="2025-05-19T00:00:00"/>
    <x v="3"/>
    <s v="Lead Generation"/>
    <n v="11909.28"/>
    <n v="82"/>
    <n v="16"/>
    <n v="65804.05"/>
    <n v="19.5122"/>
    <n v="4.5254000000000003"/>
    <x v="0"/>
  </r>
  <r>
    <d v="2025-03-03T00:00:00"/>
    <x v="0"/>
    <s v="Lead Generation"/>
    <n v="10729.85"/>
    <n v="43"/>
    <n v="9"/>
    <n v="18027.04"/>
    <n v="20.930199999999999"/>
    <n v="0.68010000000000004"/>
    <x v="0"/>
  </r>
  <r>
    <d v="2025-08-11T00:00:00"/>
    <x v="0"/>
    <s v="Brand Awareness"/>
    <n v="7356.66"/>
    <n v="197"/>
    <n v="6"/>
    <n v="14690.13"/>
    <n v="3.0457000000000001"/>
    <n v="0.99680000000000002"/>
    <x v="0"/>
  </r>
  <r>
    <d v="2025-01-20T00:00:00"/>
    <x v="4"/>
    <s v="Festival Offer"/>
    <n v="6651.02"/>
    <n v="99"/>
    <n v="4"/>
    <n v="22307.22"/>
    <n v="4.0404"/>
    <n v="2.3540000000000001"/>
    <x v="0"/>
  </r>
  <r>
    <d v="2025-09-06T00:00:00"/>
    <x v="2"/>
    <s v="Festival Offer"/>
    <n v="1899.21"/>
    <n v="60"/>
    <n v="12"/>
    <n v="67970.33"/>
    <n v="20"/>
    <n v="34.788699999999999"/>
    <x v="0"/>
  </r>
  <r>
    <d v="2025-03-27T00:00:00"/>
    <x v="3"/>
    <s v="Festival Offer"/>
    <n v="6563.95"/>
    <n v="139"/>
    <n v="25"/>
    <n v="136508.48000000001"/>
    <n v="17.985600000000002"/>
    <n v="19.796700000000001"/>
    <x v="0"/>
  </r>
  <r>
    <d v="2025-12-25T00:00:00"/>
    <x v="1"/>
    <s v="Festival Offer"/>
    <n v="11232.24"/>
    <n v="194"/>
    <n v="48"/>
    <n v="153674.13"/>
    <n v="24.7423"/>
    <n v="12.6815"/>
    <x v="0"/>
  </r>
  <r>
    <d v="2025-02-03T00:00:00"/>
    <x v="4"/>
    <s v="Festival Offer"/>
    <n v="12734.56"/>
    <n v="42"/>
    <n v="12"/>
    <n v="67235.22"/>
    <n v="28.571400000000001"/>
    <n v="4.2797000000000001"/>
    <x v="0"/>
  </r>
  <r>
    <d v="2025-05-07T00:00:00"/>
    <x v="4"/>
    <s v="Festival Offer"/>
    <n v="13372.04"/>
    <n v="239"/>
    <n v="13"/>
    <n v="55587.01"/>
    <n v="5.4393000000000002"/>
    <n v="3.157"/>
    <x v="0"/>
  </r>
  <r>
    <d v="2025-03-17T00:00:00"/>
    <x v="0"/>
    <s v="Festival Offer"/>
    <n v="3042.65"/>
    <n v="122"/>
    <n v="24"/>
    <n v="74692.33"/>
    <n v="19.6721"/>
    <n v="23.548400000000001"/>
    <x v="0"/>
  </r>
  <r>
    <d v="2025-11-15T00:00:00"/>
    <x v="4"/>
    <s v="New Product Launch"/>
    <n v="3486.52"/>
    <n v="29"/>
    <n v="10"/>
    <n v="10648.5"/>
    <n v="34.482799999999997"/>
    <n v="2.0541999999999998"/>
    <x v="0"/>
  </r>
  <r>
    <d v="2025-12-02T00:00:00"/>
    <x v="1"/>
    <s v="Retargeting Campaign"/>
    <n v="11257.2"/>
    <n v="43"/>
    <n v="9"/>
    <n v="27154.400000000001"/>
    <n v="20.930199999999999"/>
    <n v="1.4121999999999999"/>
    <x v="0"/>
  </r>
  <r>
    <d v="2025-07-26T00:00:00"/>
    <x v="3"/>
    <s v="New Product Launch"/>
    <n v="1105.8399999999999"/>
    <n v="142"/>
    <n v="54"/>
    <n v="122792.86"/>
    <n v="38.028199999999998"/>
    <n v="110.0403"/>
    <x v="0"/>
  </r>
  <r>
    <d v="2025-07-11T00:00:00"/>
    <x v="4"/>
    <s v="Lead Generation"/>
    <n v="11711.03"/>
    <n v="196"/>
    <n v="57"/>
    <n v="303174.18"/>
    <n v="29.081600000000002"/>
    <n v="24.887899999999998"/>
    <x v="0"/>
  </r>
  <r>
    <d v="2025-05-20T00:00:00"/>
    <x v="4"/>
    <s v="Festival Offer"/>
    <n v="14458.65"/>
    <n v="96"/>
    <n v="15"/>
    <n v="38147.160000000003"/>
    <n v="15.625"/>
    <n v="1.6384000000000001"/>
    <x v="0"/>
  </r>
  <r>
    <d v="2025-04-14T00:00:00"/>
    <x v="4"/>
    <s v="Lead Generation"/>
    <n v="14278.12"/>
    <n v="110"/>
    <n v="15"/>
    <n v="62681.56"/>
    <n v="13.6364"/>
    <n v="3.39"/>
    <x v="0"/>
  </r>
  <r>
    <d v="2025-10-02T00:00:00"/>
    <x v="4"/>
    <s v="Brand Awareness"/>
    <n v="2984.3"/>
    <n v="186"/>
    <n v="30"/>
    <n v="48717.64"/>
    <n v="16.129000000000001"/>
    <n v="15.3246"/>
    <x v="0"/>
  </r>
  <r>
    <d v="2025-07-05T00:00:00"/>
    <x v="3"/>
    <s v="Festival Offer"/>
    <n v="9743.8799999999992"/>
    <n v="156"/>
    <n v="59"/>
    <n v="108563.69"/>
    <n v="37.820500000000003"/>
    <n v="10.1417"/>
    <x v="0"/>
  </r>
  <r>
    <d v="2025-11-16T00:00:00"/>
    <x v="2"/>
    <s v="New Product Launch"/>
    <n v="1843.62"/>
    <n v="60"/>
    <n v="21"/>
    <n v="108496.24"/>
    <n v="35"/>
    <n v="57.849600000000002"/>
    <x v="0"/>
  </r>
  <r>
    <d v="2025-03-05T00:00:00"/>
    <x v="2"/>
    <s v="Retargeting Campaign"/>
    <n v="4775.54"/>
    <n v="121"/>
    <n v="33"/>
    <n v="92439.63"/>
    <n v="27.2727"/>
    <n v="18.3569"/>
    <x v="0"/>
  </r>
  <r>
    <d v="2025-06-01T00:00:00"/>
    <x v="3"/>
    <s v="Lead Generation"/>
    <n v="4302.66"/>
    <n v="107"/>
    <n v="30"/>
    <n v="176444.58"/>
    <n v="28.037400000000002"/>
    <n v="40.008299999999998"/>
    <x v="0"/>
  </r>
  <r>
    <d v="2025-07-04T00:00:00"/>
    <x v="3"/>
    <s v="Brand Awareness"/>
    <n v="4259.93"/>
    <n v="202"/>
    <n v="77"/>
    <n v="343543.83"/>
    <n v="38.1188"/>
    <n v="79.645399999999995"/>
    <x v="0"/>
  </r>
  <r>
    <d v="2025-08-12T00:00:00"/>
    <x v="0"/>
    <s v="Retargeting Campaign"/>
    <n v="11062.98"/>
    <n v="227"/>
    <n v="62"/>
    <n v="195812.4"/>
    <n v="27.312799999999999"/>
    <n v="16.6998"/>
    <x v="0"/>
  </r>
  <r>
    <d v="2025-06-10T00:00:00"/>
    <x v="3"/>
    <s v="Retargeting Campaign"/>
    <n v="12874.61"/>
    <n v="114"/>
    <n v="30"/>
    <n v="133695.53"/>
    <n v="26.315799999999999"/>
    <n v="9.3843999999999994"/>
    <x v="0"/>
  </r>
  <r>
    <d v="2025-08-03T00:00:00"/>
    <x v="4"/>
    <s v="Lead Generation"/>
    <n v="14513.66"/>
    <n v="96"/>
    <n v="3"/>
    <n v="7586.5"/>
    <n v="3.125"/>
    <n v="-0.4773"/>
    <x v="1"/>
  </r>
  <r>
    <d v="2025-11-09T00:00:00"/>
    <x v="2"/>
    <s v="Festival Offer"/>
    <n v="13570.49"/>
    <n v="109"/>
    <n v="14"/>
    <n v="24447.87"/>
    <n v="12.843999999999999"/>
    <n v="0.80149999999999999"/>
    <x v="0"/>
  </r>
  <r>
    <d v="2025-10-08T00:00:00"/>
    <x v="3"/>
    <s v="Lead Generation"/>
    <n v="9558.39"/>
    <n v="95"/>
    <n v="21"/>
    <n v="63173.81"/>
    <n v="22.1053"/>
    <n v="5.6093000000000002"/>
    <x v="0"/>
  </r>
  <r>
    <d v="2025-11-18T00:00:00"/>
    <x v="2"/>
    <s v="Brand Awareness"/>
    <n v="9231.3799999999992"/>
    <n v="137"/>
    <n v="30"/>
    <n v="128868.85"/>
    <n v="21.8978"/>
    <n v="12.959899999999999"/>
    <x v="0"/>
  </r>
  <r>
    <d v="2025-11-30T00:00:00"/>
    <x v="0"/>
    <s v="Festival Offer"/>
    <n v="8351.2900000000009"/>
    <n v="26"/>
    <n v="2"/>
    <n v="2509.31"/>
    <n v="7.6923000000000004"/>
    <n v="-0.69950000000000001"/>
    <x v="1"/>
  </r>
  <r>
    <d v="2025-05-05T00:00:00"/>
    <x v="0"/>
    <s v="Festival Offer"/>
    <n v="8379.0499999999993"/>
    <n v="113"/>
    <n v="26"/>
    <n v="121056.68"/>
    <n v="23.008800000000001"/>
    <n v="13.4475"/>
    <x v="0"/>
  </r>
  <r>
    <d v="2025-06-18T00:00:00"/>
    <x v="3"/>
    <s v="Lead Generation"/>
    <n v="6900.95"/>
    <n v="68"/>
    <n v="22"/>
    <n v="59357.69"/>
    <n v="32.352899999999998"/>
    <n v="7.6013999999999999"/>
    <x v="0"/>
  </r>
  <r>
    <d v="2025-01-19T00:00:00"/>
    <x v="2"/>
    <s v="Festival Offer"/>
    <n v="14993.89"/>
    <n v="129"/>
    <n v="13"/>
    <n v="47619.24"/>
    <n v="10.077500000000001"/>
    <n v="2.1758999999999999"/>
    <x v="0"/>
  </r>
  <r>
    <d v="2025-04-21T00:00:00"/>
    <x v="0"/>
    <s v="Lead Generation"/>
    <n v="14568.95"/>
    <n v="140"/>
    <n v="35"/>
    <n v="55315.91"/>
    <n v="25"/>
    <n v="2.7968000000000002"/>
    <x v="0"/>
  </r>
  <r>
    <d v="2025-07-10T00:00:00"/>
    <x v="1"/>
    <s v="Retargeting Campaign"/>
    <n v="14360.14"/>
    <n v="170"/>
    <n v="44"/>
    <n v="61199.08"/>
    <n v="25.882400000000001"/>
    <n v="3.2616999999999998"/>
    <x v="0"/>
  </r>
  <r>
    <d v="2025-07-12T00:00:00"/>
    <x v="1"/>
    <s v="New Product Launch"/>
    <n v="13399.44"/>
    <n v="125"/>
    <n v="44"/>
    <n v="155880.26"/>
    <n v="35.200000000000003"/>
    <n v="10.6333"/>
    <x v="0"/>
  </r>
  <r>
    <d v="2025-09-06T00:00:00"/>
    <x v="1"/>
    <s v="New Product Launch"/>
    <n v="11002.77"/>
    <n v="57"/>
    <n v="6"/>
    <n v="33039.870000000003"/>
    <n v="10.526300000000001"/>
    <n v="2.0028999999999999"/>
    <x v="0"/>
  </r>
  <r>
    <d v="2025-05-06T00:00:00"/>
    <x v="3"/>
    <s v="New Product Launch"/>
    <n v="10043.49"/>
    <n v="84"/>
    <n v="12"/>
    <n v="49077.36"/>
    <n v="14.2857"/>
    <n v="3.8864999999999998"/>
    <x v="0"/>
  </r>
  <r>
    <d v="2025-09-22T00:00:00"/>
    <x v="3"/>
    <s v="Retargeting Campaign"/>
    <n v="5995.91"/>
    <n v="216"/>
    <n v="42"/>
    <n v="99083.48"/>
    <n v="19.444400000000002"/>
    <n v="15.5252"/>
    <x v="0"/>
  </r>
  <r>
    <d v="2025-08-22T00:00:00"/>
    <x v="0"/>
    <s v="Lead Generation"/>
    <n v="11762.34"/>
    <n v="58"/>
    <n v="2"/>
    <n v="9380.24"/>
    <n v="3.4483000000000001"/>
    <n v="-0.20250000000000001"/>
    <x v="1"/>
  </r>
  <r>
    <d v="2025-06-11T00:00:00"/>
    <x v="2"/>
    <s v="Lead Generation"/>
    <n v="6859.52"/>
    <n v="67"/>
    <n v="14"/>
    <n v="39698.44"/>
    <n v="20.895499999999998"/>
    <n v="4.7873000000000001"/>
    <x v="0"/>
  </r>
  <r>
    <d v="2025-04-08T00:00:00"/>
    <x v="0"/>
    <s v="New Product Launch"/>
    <n v="4297.09"/>
    <n v="70"/>
    <n v="21"/>
    <n v="21169.7"/>
    <n v="30"/>
    <n v="3.9264999999999999"/>
    <x v="0"/>
  </r>
  <r>
    <d v="2025-10-10T00:00:00"/>
    <x v="2"/>
    <s v="Lead Generation"/>
    <n v="11266.26"/>
    <n v="236"/>
    <n v="42"/>
    <n v="182186.9"/>
    <n v="17.796600000000002"/>
    <n v="15.170999999999999"/>
    <x v="0"/>
  </r>
  <r>
    <d v="2025-06-03T00:00:00"/>
    <x v="2"/>
    <s v="Brand Awareness"/>
    <n v="8931.8700000000008"/>
    <n v="101"/>
    <n v="40"/>
    <n v="88546.41"/>
    <n v="39.603999999999999"/>
    <n v="8.9135000000000009"/>
    <x v="0"/>
  </r>
  <r>
    <d v="2025-01-12T00:00:00"/>
    <x v="4"/>
    <s v="Festival Offer"/>
    <n v="4274.1899999999996"/>
    <n v="193"/>
    <n v="3"/>
    <n v="9416.6200000000008"/>
    <n v="1.5544"/>
    <n v="1.2031000000000001"/>
    <x v="0"/>
  </r>
  <r>
    <d v="2025-12-03T00:00:00"/>
    <x v="2"/>
    <s v="Lead Generation"/>
    <n v="11494.02"/>
    <n v="106"/>
    <n v="29"/>
    <n v="116861"/>
    <n v="27.358499999999999"/>
    <n v="9.1670999999999996"/>
    <x v="0"/>
  </r>
  <r>
    <d v="2025-04-26T00:00:00"/>
    <x v="3"/>
    <s v="Retargeting Campaign"/>
    <n v="12503.61"/>
    <n v="227"/>
    <n v="55"/>
    <n v="177225.99"/>
    <n v="24.229099999999999"/>
    <n v="13.173999999999999"/>
    <x v="0"/>
  </r>
  <r>
    <d v="2025-06-30T00:00:00"/>
    <x v="4"/>
    <s v="Brand Awareness"/>
    <n v="7266.13"/>
    <n v="99"/>
    <n v="34"/>
    <n v="125451.91"/>
    <n v="34.343400000000003"/>
    <n v="16.2653"/>
    <x v="0"/>
  </r>
  <r>
    <d v="2025-04-29T00:00:00"/>
    <x v="0"/>
    <s v="Festival Offer"/>
    <n v="10189.19"/>
    <n v="184"/>
    <n v="21"/>
    <n v="113929.14"/>
    <n v="11.413"/>
    <n v="10.1814"/>
    <x v="0"/>
  </r>
  <r>
    <d v="2025-02-24T00:00:00"/>
    <x v="1"/>
    <s v="Brand Awareness"/>
    <n v="13896.8"/>
    <n v="150"/>
    <n v="39"/>
    <n v="105259.91"/>
    <n v="26"/>
    <n v="6.5743999999999998"/>
    <x v="0"/>
  </r>
  <r>
    <d v="2025-06-05T00:00:00"/>
    <x v="4"/>
    <s v="Retargeting Campaign"/>
    <n v="14052.42"/>
    <n v="173"/>
    <n v="66"/>
    <n v="293535.71000000002"/>
    <n v="38.150300000000001"/>
    <n v="19.8886"/>
    <x v="0"/>
  </r>
  <r>
    <d v="2025-03-06T00:00:00"/>
    <x v="2"/>
    <s v="Lead Generation"/>
    <n v="9743.2999999999993"/>
    <n v="197"/>
    <n v="13"/>
    <n v="14960.95"/>
    <n v="6.5990000000000002"/>
    <n v="0.53549999999999998"/>
    <x v="0"/>
  </r>
  <r>
    <d v="2025-03-17T00:00:00"/>
    <x v="1"/>
    <s v="Brand Awareness"/>
    <n v="7093.93"/>
    <n v="213"/>
    <n v="83"/>
    <n v="296879.28000000003"/>
    <n v="38.967100000000002"/>
    <n v="40.849800000000002"/>
    <x v="0"/>
  </r>
  <r>
    <d v="2025-11-05T00:00:00"/>
    <x v="3"/>
    <s v="Lead Generation"/>
    <n v="4558.2700000000004"/>
    <n v="91"/>
    <n v="9"/>
    <n v="15827.79"/>
    <n v="9.8901000000000003"/>
    <n v="2.4723000000000002"/>
    <x v="0"/>
  </r>
  <r>
    <d v="2025-02-01T00:00:00"/>
    <x v="3"/>
    <s v="Retargeting Campaign"/>
    <n v="14470.03"/>
    <n v="218"/>
    <n v="60"/>
    <n v="339736.51"/>
    <n v="27.5229"/>
    <n v="22.4786"/>
    <x v="0"/>
  </r>
  <r>
    <d v="2025-09-06T00:00:00"/>
    <x v="2"/>
    <s v="Lead Generation"/>
    <n v="13381.7"/>
    <n v="104"/>
    <n v="31"/>
    <n v="127165.34"/>
    <n v="29.807700000000001"/>
    <n v="8.5029000000000003"/>
    <x v="0"/>
  </r>
  <r>
    <d v="2025-07-18T00:00:00"/>
    <x v="2"/>
    <s v="Retargeting Campaign"/>
    <n v="3797.62"/>
    <n v="130"/>
    <n v="37"/>
    <n v="44580.05"/>
    <n v="28.461500000000001"/>
    <n v="10.738899999999999"/>
    <x v="0"/>
  </r>
  <r>
    <d v="2025-08-31T00:00:00"/>
    <x v="2"/>
    <s v="Retargeting Campaign"/>
    <n v="6467.49"/>
    <n v="208"/>
    <n v="63"/>
    <n v="110388.08"/>
    <n v="30.288499999999999"/>
    <n v="16.068100000000001"/>
    <x v="0"/>
  </r>
  <r>
    <d v="2025-01-26T00:00:00"/>
    <x v="4"/>
    <s v="New Product Launch"/>
    <n v="7032.13"/>
    <n v="142"/>
    <n v="13"/>
    <n v="53504.76"/>
    <n v="9.1548999999999996"/>
    <n v="6.6086"/>
    <x v="0"/>
  </r>
  <r>
    <d v="2025-05-31T00:00:00"/>
    <x v="3"/>
    <s v="Brand Awareness"/>
    <n v="8509.41"/>
    <n v="187"/>
    <n v="53"/>
    <n v="96194.559999999998"/>
    <n v="28.342199999999998"/>
    <n v="10.304500000000001"/>
    <x v="0"/>
  </r>
  <r>
    <d v="2025-10-16T00:00:00"/>
    <x v="2"/>
    <s v="Festival Offer"/>
    <n v="4009.31"/>
    <n v="107"/>
    <n v="13"/>
    <n v="42531.3"/>
    <n v="12.1495"/>
    <n v="9.6081000000000003"/>
    <x v="0"/>
  </r>
  <r>
    <d v="2025-11-13T00:00:00"/>
    <x v="4"/>
    <s v="Brand Awareness"/>
    <n v="14060.07"/>
    <n v="126"/>
    <n v="16"/>
    <n v="38892.589999999997"/>
    <n v="12.698399999999999"/>
    <n v="1.7662"/>
    <x v="0"/>
  </r>
  <r>
    <d v="2025-05-23T00:00:00"/>
    <x v="3"/>
    <s v="Lead Generation"/>
    <n v="1772.23"/>
    <n v="123"/>
    <n v="6"/>
    <n v="31423.08"/>
    <n v="4.8780000000000001"/>
    <n v="16.730799999999999"/>
    <x v="0"/>
  </r>
  <r>
    <d v="2025-05-18T00:00:00"/>
    <x v="0"/>
    <s v="Lead Generation"/>
    <n v="2748.25"/>
    <n v="109"/>
    <n v="29"/>
    <n v="75072.2"/>
    <n v="26.605499999999999"/>
    <n v="26.316400000000002"/>
    <x v="0"/>
  </r>
  <r>
    <d v="2025-10-23T00:00:00"/>
    <x v="0"/>
    <s v="Brand Awareness"/>
    <n v="7706.69"/>
    <n v="234"/>
    <n v="52"/>
    <n v="71582.039999999994"/>
    <n v="22.222200000000001"/>
    <n v="8.2882999999999996"/>
    <x v="0"/>
  </r>
  <r>
    <d v="2025-01-29T00:00:00"/>
    <x v="4"/>
    <s v="Festival Offer"/>
    <n v="8343.9699999999993"/>
    <n v="248"/>
    <n v="39"/>
    <n v="61846.46"/>
    <n v="15.7258"/>
    <n v="6.4120999999999997"/>
    <x v="0"/>
  </r>
  <r>
    <d v="2025-03-12T00:00:00"/>
    <x v="2"/>
    <s v="Festival Offer"/>
    <n v="12730.07"/>
    <n v="234"/>
    <n v="78"/>
    <n v="339573.75"/>
    <n v="33.333300000000001"/>
    <n v="25.674900000000001"/>
    <x v="0"/>
  </r>
  <r>
    <d v="2025-03-10T00:00:00"/>
    <x v="2"/>
    <s v="Retargeting Campaign"/>
    <n v="6078.69"/>
    <n v="231"/>
    <n v="37"/>
    <n v="134788.84"/>
    <n v="16.017299999999999"/>
    <n v="21.173999999999999"/>
    <x v="0"/>
  </r>
  <r>
    <d v="2025-08-31T00:00:00"/>
    <x v="1"/>
    <s v="New Product Launch"/>
    <n v="8509.31"/>
    <n v="64"/>
    <n v="24"/>
    <n v="29119.43"/>
    <n v="37.5"/>
    <n v="2.4220999999999999"/>
    <x v="0"/>
  </r>
  <r>
    <d v="2025-01-18T00:00:00"/>
    <x v="0"/>
    <s v="Lead Generation"/>
    <n v="14423.13"/>
    <n v="26"/>
    <n v="9"/>
    <n v="39333.42"/>
    <n v="34.615400000000001"/>
    <n v="1.7271000000000001"/>
    <x v="0"/>
  </r>
  <r>
    <d v="2025-10-24T00:00:00"/>
    <x v="3"/>
    <s v="Festival Offer"/>
    <n v="9934.69"/>
    <n v="202"/>
    <n v="6"/>
    <n v="26409.09"/>
    <n v="2.9702999999999999"/>
    <n v="1.6583000000000001"/>
    <x v="0"/>
  </r>
  <r>
    <d v="2025-12-28T00:00:00"/>
    <x v="3"/>
    <s v="New Product Launch"/>
    <n v="14791.16"/>
    <n v="225"/>
    <n v="39"/>
    <n v="152500.34"/>
    <n v="17.333300000000001"/>
    <n v="9.3102"/>
    <x v="0"/>
  </r>
  <r>
    <d v="2025-11-07T00:00:00"/>
    <x v="3"/>
    <s v="Retargeting Campaign"/>
    <n v="12322.56"/>
    <n v="52"/>
    <n v="1"/>
    <n v="4413.54"/>
    <n v="1.9231"/>
    <n v="-0.64180000000000004"/>
    <x v="1"/>
  </r>
  <r>
    <d v="2025-01-05T00:00:00"/>
    <x v="2"/>
    <s v="Retargeting Campaign"/>
    <n v="5737.2"/>
    <n v="36"/>
    <n v="5"/>
    <n v="5217.8100000000004"/>
    <n v="13.8889"/>
    <n v="-9.0499999999999997E-2"/>
    <x v="1"/>
  </r>
  <r>
    <d v="2025-07-03T00:00:00"/>
    <x v="1"/>
    <s v="Festival Offer"/>
    <n v="2462.14"/>
    <n v="166"/>
    <n v="41"/>
    <n v="160061.39000000001"/>
    <n v="24.698799999999999"/>
    <n v="64.009100000000004"/>
    <x v="0"/>
  </r>
  <r>
    <d v="2025-02-27T00:00:00"/>
    <x v="3"/>
    <s v="New Product Launch"/>
    <n v="6466.85"/>
    <n v="164"/>
    <n v="9"/>
    <n v="11939.27"/>
    <n v="5.4878"/>
    <n v="0.84619999999999995"/>
    <x v="0"/>
  </r>
  <r>
    <d v="2025-09-05T00:00:00"/>
    <x v="2"/>
    <s v="Retargeting Campaign"/>
    <n v="14269.76"/>
    <n v="73"/>
    <n v="4"/>
    <n v="11585.55"/>
    <n v="5.4794999999999998"/>
    <n v="-0.18809999999999999"/>
    <x v="1"/>
  </r>
  <r>
    <d v="2025-02-08T00:00:00"/>
    <x v="4"/>
    <s v="Lead Generation"/>
    <n v="8768.06"/>
    <n v="198"/>
    <n v="53"/>
    <n v="296052.67"/>
    <n v="26.767700000000001"/>
    <n v="32.764899999999997"/>
    <x v="0"/>
  </r>
  <r>
    <d v="2025-01-21T00:00:00"/>
    <x v="4"/>
    <s v="Festival Offer"/>
    <n v="2012.81"/>
    <n v="201"/>
    <n v="75"/>
    <n v="271225.65000000002"/>
    <n v="37.313400000000001"/>
    <n v="133.74979999999999"/>
    <x v="0"/>
  </r>
  <r>
    <d v="2025-02-20T00:00:00"/>
    <x v="0"/>
    <s v="Lead Generation"/>
    <n v="6142.33"/>
    <n v="227"/>
    <n v="37"/>
    <n v="166260.18"/>
    <n v="16.299600000000002"/>
    <n v="26.067900000000002"/>
    <x v="0"/>
  </r>
  <r>
    <d v="2025-08-15T00:00:00"/>
    <x v="4"/>
    <s v="New Product Launch"/>
    <n v="9924.74"/>
    <n v="192"/>
    <n v="36"/>
    <n v="191958.17"/>
    <n v="18.75"/>
    <n v="18.3414"/>
    <x v="0"/>
  </r>
  <r>
    <d v="2025-10-27T00:00:00"/>
    <x v="3"/>
    <s v="Lead Generation"/>
    <n v="2009.82"/>
    <n v="65"/>
    <n v="2"/>
    <n v="8900.7000000000007"/>
    <n v="3.0769000000000002"/>
    <n v="3.4285999999999999"/>
    <x v="0"/>
  </r>
  <r>
    <d v="2025-05-09T00:00:00"/>
    <x v="2"/>
    <s v="Lead Generation"/>
    <n v="6592.27"/>
    <n v="142"/>
    <n v="3"/>
    <n v="14593.87"/>
    <n v="2.1126999999999998"/>
    <n v="1.2138"/>
    <x v="0"/>
  </r>
  <r>
    <d v="2025-10-28T00:00:00"/>
    <x v="1"/>
    <s v="New Product Launch"/>
    <n v="7452.92"/>
    <n v="209"/>
    <n v="43"/>
    <n v="54709.04"/>
    <n v="20.574200000000001"/>
    <n v="6.3406000000000002"/>
    <x v="0"/>
  </r>
  <r>
    <d v="2025-07-24T00:00:00"/>
    <x v="0"/>
    <s v="Brand Awareness"/>
    <n v="6545.2"/>
    <n v="61"/>
    <n v="10"/>
    <n v="32676.22"/>
    <n v="16.3934"/>
    <n v="3.9923999999999999"/>
    <x v="0"/>
  </r>
  <r>
    <d v="2025-09-12T00:00:00"/>
    <x v="4"/>
    <s v="New Product Launch"/>
    <n v="9240.7000000000007"/>
    <n v="213"/>
    <n v="32"/>
    <n v="58545.66"/>
    <n v="15.0235"/>
    <n v="5.3356000000000003"/>
    <x v="0"/>
  </r>
  <r>
    <d v="2025-02-21T00:00:00"/>
    <x v="4"/>
    <s v="Brand Awareness"/>
    <n v="3779.15"/>
    <n v="136"/>
    <n v="4"/>
    <n v="18343.57"/>
    <n v="2.9411999999999998"/>
    <n v="3.8538999999999999"/>
    <x v="0"/>
  </r>
  <r>
    <d v="2025-11-02T00:00:00"/>
    <x v="1"/>
    <s v="Festival Offer"/>
    <n v="7001.88"/>
    <n v="99"/>
    <n v="28"/>
    <n v="155684.06"/>
    <n v="28.282800000000002"/>
    <n v="21.2346"/>
    <x v="0"/>
  </r>
  <r>
    <d v="2025-02-02T00:00:00"/>
    <x v="2"/>
    <s v="Retargeting Campaign"/>
    <n v="10087.370000000001"/>
    <n v="229"/>
    <n v="37"/>
    <n v="128404.11"/>
    <n v="16.1572"/>
    <n v="11.729200000000001"/>
    <x v="0"/>
  </r>
  <r>
    <d v="2025-02-21T00:00:00"/>
    <x v="1"/>
    <s v="Festival Offer"/>
    <n v="11007.43"/>
    <n v="237"/>
    <n v="27"/>
    <n v="58472.26"/>
    <n v="11.3924"/>
    <n v="4.3121"/>
    <x v="0"/>
  </r>
  <r>
    <d v="2025-08-16T00:00:00"/>
    <x v="3"/>
    <s v="New Product Launch"/>
    <n v="13922.86"/>
    <n v="147"/>
    <n v="8"/>
    <n v="20263.97"/>
    <n v="5.4421999999999997"/>
    <n v="0.45540000000000003"/>
    <x v="0"/>
  </r>
  <r>
    <d v="2025-04-28T00:00:00"/>
    <x v="3"/>
    <s v="Festival Offer"/>
    <n v="3530.71"/>
    <n v="105"/>
    <n v="29"/>
    <n v="124157.45"/>
    <n v="27.619"/>
    <n v="34.164999999999999"/>
    <x v="0"/>
  </r>
  <r>
    <d v="2025-02-19T00:00:00"/>
    <x v="3"/>
    <s v="Retargeting Campaign"/>
    <n v="3657.13"/>
    <n v="61"/>
    <n v="8"/>
    <n v="45025.02"/>
    <n v="13.114800000000001"/>
    <n v="11.3116"/>
    <x v="0"/>
  </r>
  <r>
    <d v="2025-09-06T00:00:00"/>
    <x v="4"/>
    <s v="New Product Launch"/>
    <n v="14510.07"/>
    <n v="236"/>
    <n v="86"/>
    <n v="180297.73"/>
    <n v="36.4407"/>
    <n v="11.425700000000001"/>
    <x v="0"/>
  </r>
  <r>
    <d v="2025-01-25T00:00:00"/>
    <x v="0"/>
    <s v="Retargeting Campaign"/>
    <n v="3208.38"/>
    <n v="209"/>
    <n v="29"/>
    <n v="39274.03"/>
    <n v="13.8756"/>
    <n v="11.241099999999999"/>
    <x v="0"/>
  </r>
  <r>
    <d v="2025-03-10T00:00:00"/>
    <x v="3"/>
    <s v="Retargeting Campaign"/>
    <n v="12445.74"/>
    <n v="99"/>
    <n v="16"/>
    <n v="34051.21"/>
    <n v="16.1616"/>
    <n v="1.736"/>
    <x v="0"/>
  </r>
  <r>
    <d v="2025-02-12T00:00:00"/>
    <x v="3"/>
    <s v="Festival Offer"/>
    <n v="8391.36"/>
    <n v="200"/>
    <n v="76"/>
    <n v="332770.12"/>
    <n v="38"/>
    <n v="38.656300000000002"/>
    <x v="0"/>
  </r>
  <r>
    <d v="2025-02-27T00:00:00"/>
    <x v="3"/>
    <s v="Brand Awareness"/>
    <n v="5482.12"/>
    <n v="240"/>
    <n v="5"/>
    <n v="25835.55"/>
    <n v="2.0832999999999999"/>
    <n v="3.7126999999999999"/>
    <x v="0"/>
  </r>
  <r>
    <d v="2025-09-01T00:00:00"/>
    <x v="3"/>
    <s v="New Product Launch"/>
    <n v="7437.12"/>
    <n v="99"/>
    <n v="32"/>
    <n v="179019.17"/>
    <n v="32.3232"/>
    <n v="23.071000000000002"/>
    <x v="0"/>
  </r>
  <r>
    <d v="2025-01-12T00:00:00"/>
    <x v="3"/>
    <s v="New Product Launch"/>
    <n v="2071.88"/>
    <n v="100"/>
    <n v="32"/>
    <n v="70478.58"/>
    <n v="32"/>
    <n v="33.0167"/>
    <x v="0"/>
  </r>
  <r>
    <d v="2025-03-24T00:00:00"/>
    <x v="2"/>
    <s v="Lead Generation"/>
    <n v="10785.91"/>
    <n v="74"/>
    <n v="19"/>
    <n v="86950.02"/>
    <n v="25.675699999999999"/>
    <n v="7.0613999999999999"/>
    <x v="0"/>
  </r>
  <r>
    <d v="2025-08-20T00:00:00"/>
    <x v="2"/>
    <s v="Brand Awareness"/>
    <n v="14234.85"/>
    <n v="212"/>
    <n v="50"/>
    <n v="151349.73000000001"/>
    <n v="23.584900000000001"/>
    <n v="9.6323000000000008"/>
    <x v="0"/>
  </r>
  <r>
    <d v="2025-04-23T00:00:00"/>
    <x v="1"/>
    <s v="Lead Generation"/>
    <n v="5297.13"/>
    <n v="248"/>
    <n v="3"/>
    <n v="12244.25"/>
    <n v="1.2097"/>
    <n v="1.3115000000000001"/>
    <x v="0"/>
  </r>
  <r>
    <d v="2025-01-21T00:00:00"/>
    <x v="3"/>
    <s v="Lead Generation"/>
    <n v="8697.0300000000007"/>
    <n v="36"/>
    <n v="12"/>
    <n v="13378.39"/>
    <n v="33.333300000000001"/>
    <n v="0.5383"/>
    <x v="0"/>
  </r>
  <r>
    <d v="2025-05-29T00:00:00"/>
    <x v="3"/>
    <s v="New Product Launch"/>
    <n v="13756.54"/>
    <n v="183"/>
    <n v="47"/>
    <n v="140380.66"/>
    <n v="25.6831"/>
    <n v="9.2045999999999992"/>
    <x v="0"/>
  </r>
  <r>
    <d v="2025-04-27T00:00:00"/>
    <x v="3"/>
    <s v="Retargeting Campaign"/>
    <n v="14151.33"/>
    <n v="123"/>
    <n v="32"/>
    <n v="127100.45"/>
    <n v="26.016300000000001"/>
    <n v="7.9814999999999996"/>
    <x v="0"/>
  </r>
  <r>
    <d v="2025-02-28T00:00:00"/>
    <x v="3"/>
    <s v="New Product Launch"/>
    <n v="9802.2000000000007"/>
    <n v="52"/>
    <n v="4"/>
    <n v="15560"/>
    <n v="7.6923000000000004"/>
    <n v="0.58740000000000003"/>
    <x v="0"/>
  </r>
  <r>
    <d v="2025-12-19T00:00:00"/>
    <x v="0"/>
    <s v="Retargeting Campaign"/>
    <n v="9656.73"/>
    <n v="181"/>
    <n v="9"/>
    <n v="52342.86"/>
    <n v="4.9724000000000004"/>
    <n v="4.4203999999999999"/>
    <x v="0"/>
  </r>
  <r>
    <d v="2025-05-23T00:00:00"/>
    <x v="2"/>
    <s v="Brand Awareness"/>
    <n v="10499.07"/>
    <n v="102"/>
    <n v="17"/>
    <n v="41870.99"/>
    <n v="16.666699999999999"/>
    <n v="2.9881000000000002"/>
    <x v="0"/>
  </r>
  <r>
    <d v="2025-02-27T00:00:00"/>
    <x v="2"/>
    <s v="Festival Offer"/>
    <n v="6640.14"/>
    <n v="35"/>
    <n v="3"/>
    <n v="11958.11"/>
    <n v="8.5714000000000006"/>
    <n v="0.80089999999999995"/>
    <x v="0"/>
  </r>
  <r>
    <d v="2025-10-06T00:00:00"/>
    <x v="3"/>
    <s v="Brand Awareness"/>
    <n v="3752.89"/>
    <n v="35"/>
    <n v="6"/>
    <n v="25227.11"/>
    <n v="17.142900000000001"/>
    <n v="5.7220000000000004"/>
    <x v="0"/>
  </r>
  <r>
    <d v="2025-01-09T00:00:00"/>
    <x v="3"/>
    <s v="Lead Generation"/>
    <n v="6451.02"/>
    <n v="234"/>
    <n v="3"/>
    <n v="15007.12"/>
    <n v="1.2821"/>
    <n v="1.3263"/>
    <x v="0"/>
  </r>
  <r>
    <d v="2025-05-31T00:00:00"/>
    <x v="2"/>
    <s v="Festival Offer"/>
    <n v="10775.04"/>
    <n v="173"/>
    <n v="11"/>
    <n v="30796.65"/>
    <n v="6.3583999999999996"/>
    <n v="1.8581000000000001"/>
    <x v="0"/>
  </r>
  <r>
    <d v="2025-10-05T00:00:00"/>
    <x v="1"/>
    <s v="Brand Awareness"/>
    <n v="11618.07"/>
    <n v="232"/>
    <n v="37"/>
    <n v="100106.78"/>
    <n v="15.9483"/>
    <n v="7.6165000000000003"/>
    <x v="0"/>
  </r>
  <r>
    <d v="2025-03-05T00:00:00"/>
    <x v="3"/>
    <s v="New Product Launch"/>
    <n v="9836.2900000000009"/>
    <n v="58"/>
    <n v="23"/>
    <n v="56927.6"/>
    <n v="39.655200000000001"/>
    <n v="4.7874999999999996"/>
    <x v="0"/>
  </r>
  <r>
    <d v="2025-11-29T00:00:00"/>
    <x v="2"/>
    <s v="Retargeting Campaign"/>
    <n v="5189.99"/>
    <n v="77"/>
    <n v="22"/>
    <n v="26830.76"/>
    <n v="28.571400000000001"/>
    <n v="4.1696999999999997"/>
    <x v="0"/>
  </r>
  <r>
    <d v="2025-03-28T00:00:00"/>
    <x v="3"/>
    <s v="Lead Generation"/>
    <n v="6469.87"/>
    <n v="29"/>
    <n v="6"/>
    <n v="33984.21"/>
    <n v="20.689699999999998"/>
    <n v="4.2526999999999999"/>
    <x v="0"/>
  </r>
  <r>
    <d v="2025-06-14T00:00:00"/>
    <x v="2"/>
    <s v="Retargeting Campaign"/>
    <n v="7258.94"/>
    <n v="138"/>
    <n v="15"/>
    <n v="36580.46"/>
    <n v="10.8696"/>
    <n v="4.0393999999999997"/>
    <x v="0"/>
  </r>
  <r>
    <d v="2025-06-06T00:00:00"/>
    <x v="2"/>
    <s v="Festival Offer"/>
    <n v="6421.27"/>
    <n v="46"/>
    <n v="15"/>
    <n v="65643.039999999994"/>
    <n v="32.608699999999999"/>
    <n v="9.2227999999999994"/>
    <x v="0"/>
  </r>
  <r>
    <d v="2025-03-16T00:00:00"/>
    <x v="2"/>
    <s v="Festival Offer"/>
    <n v="13193.88"/>
    <n v="159"/>
    <n v="32"/>
    <n v="103215.07"/>
    <n v="20.125800000000002"/>
    <n v="6.8230000000000004"/>
    <x v="0"/>
  </r>
  <r>
    <d v="2025-02-22T00:00:00"/>
    <x v="0"/>
    <s v="New Product Launch"/>
    <n v="10413.1"/>
    <n v="208"/>
    <n v="1"/>
    <n v="5775.5"/>
    <n v="0.48080000000000001"/>
    <n v="-0.44540000000000002"/>
    <x v="1"/>
  </r>
  <r>
    <d v="2025-06-17T00:00:00"/>
    <x v="4"/>
    <s v="Brand Awareness"/>
    <n v="11911.21"/>
    <n v="236"/>
    <n v="69"/>
    <n v="373195.88"/>
    <n v="29.237300000000001"/>
    <n v="30.331499999999998"/>
    <x v="0"/>
  </r>
  <r>
    <d v="2025-09-24T00:00:00"/>
    <x v="0"/>
    <s v="New Product Launch"/>
    <n v="6765.77"/>
    <n v="105"/>
    <n v="12"/>
    <n v="17583.240000000002"/>
    <n v="11.428599999999999"/>
    <n v="1.5989"/>
    <x v="0"/>
  </r>
  <r>
    <d v="2025-01-16T00:00:00"/>
    <x v="2"/>
    <s v="Lead Generation"/>
    <n v="14685"/>
    <n v="30"/>
    <n v="12"/>
    <n v="54786.83"/>
    <n v="40"/>
    <n v="2.7307999999999999"/>
    <x v="0"/>
  </r>
  <r>
    <d v="2025-06-19T00:00:00"/>
    <x v="1"/>
    <s v="Festival Offer"/>
    <n v="9402.73"/>
    <n v="247"/>
    <n v="58"/>
    <n v="64983.15"/>
    <n v="23.4818"/>
    <n v="5.9111000000000002"/>
    <x v="0"/>
  </r>
  <r>
    <d v="2025-08-17T00:00:00"/>
    <x v="2"/>
    <s v="Festival Offer"/>
    <n v="8389.23"/>
    <n v="163"/>
    <n v="50"/>
    <n v="199616.81"/>
    <n v="30.674800000000001"/>
    <n v="22.7944"/>
    <x v="0"/>
  </r>
  <r>
    <d v="2025-10-12T00:00:00"/>
    <x v="2"/>
    <s v="Retargeting Campaign"/>
    <n v="1051.78"/>
    <n v="125"/>
    <n v="31"/>
    <n v="176398.7"/>
    <n v="24.8"/>
    <n v="166.71440000000001"/>
    <x v="0"/>
  </r>
  <r>
    <d v="2025-03-07T00:00:00"/>
    <x v="2"/>
    <s v="Lead Generation"/>
    <n v="11925.14"/>
    <n v="240"/>
    <n v="11"/>
    <n v="63367.54"/>
    <n v="4.5833000000000004"/>
    <n v="4.3137999999999996"/>
    <x v="0"/>
  </r>
  <r>
    <d v="2025-09-20T00:00:00"/>
    <x v="0"/>
    <s v="Retargeting Campaign"/>
    <n v="10293.27"/>
    <n v="46"/>
    <n v="3"/>
    <n v="17825.669999999998"/>
    <n v="6.5217000000000001"/>
    <n v="0.73180000000000001"/>
    <x v="0"/>
  </r>
  <r>
    <d v="2025-05-02T00:00:00"/>
    <x v="0"/>
    <s v="Lead Generation"/>
    <n v="2636.95"/>
    <n v="102"/>
    <n v="7"/>
    <n v="39729.300000000003"/>
    <n v="6.8627000000000002"/>
    <n v="14.0664"/>
    <x v="0"/>
  </r>
  <r>
    <d v="2025-03-12T00:00:00"/>
    <x v="3"/>
    <s v="Retargeting Campaign"/>
    <n v="2428.4299999999998"/>
    <n v="211"/>
    <n v="4"/>
    <n v="11228.24"/>
    <n v="1.8956999999999999"/>
    <n v="3.6236999999999999"/>
    <x v="0"/>
  </r>
  <r>
    <d v="2025-09-23T00:00:00"/>
    <x v="1"/>
    <s v="New Product Launch"/>
    <n v="2897.49"/>
    <n v="122"/>
    <n v="24"/>
    <n v="77717.14"/>
    <n v="19.6721"/>
    <n v="25.822199999999999"/>
    <x v="0"/>
  </r>
  <r>
    <d v="2025-04-26T00:00:00"/>
    <x v="1"/>
    <s v="New Product Launch"/>
    <n v="5882.02"/>
    <n v="138"/>
    <n v="19"/>
    <n v="73231.179999999993"/>
    <n v="13.7681"/>
    <n v="11.45"/>
    <x v="0"/>
  </r>
  <r>
    <d v="2025-10-26T00:00:00"/>
    <x v="3"/>
    <s v="Lead Generation"/>
    <n v="3027.14"/>
    <n v="33"/>
    <n v="2"/>
    <n v="9318.16"/>
    <n v="6.0606"/>
    <n v="2.0781999999999998"/>
    <x v="0"/>
  </r>
  <r>
    <d v="2025-09-09T00:00:00"/>
    <x v="4"/>
    <s v="Brand Awareness"/>
    <n v="4765.49"/>
    <n v="70"/>
    <n v="23"/>
    <n v="100699.56"/>
    <n v="32.857100000000003"/>
    <n v="20.131"/>
    <x v="0"/>
  </r>
  <r>
    <d v="2025-06-26T00:00:00"/>
    <x v="2"/>
    <s v="New Product Launch"/>
    <n v="13638.1"/>
    <n v="161"/>
    <n v="27"/>
    <n v="139953.98000000001"/>
    <n v="16.770199999999999"/>
    <n v="9.2620000000000005"/>
    <x v="0"/>
  </r>
  <r>
    <d v="2025-06-14T00:00:00"/>
    <x v="0"/>
    <s v="Retargeting Campaign"/>
    <n v="8563.65"/>
    <n v="189"/>
    <n v="8"/>
    <n v="24055.35"/>
    <n v="4.2328000000000001"/>
    <n v="1.8089999999999999"/>
    <x v="0"/>
  </r>
  <r>
    <d v="2025-01-31T00:00:00"/>
    <x v="0"/>
    <s v="Brand Awareness"/>
    <n v="9228.35"/>
    <n v="114"/>
    <n v="36"/>
    <n v="126842.86"/>
    <n v="31.578900000000001"/>
    <n v="12.744899999999999"/>
    <x v="0"/>
  </r>
  <r>
    <d v="2025-09-12T00:00:00"/>
    <x v="1"/>
    <s v="Brand Awareness"/>
    <n v="8572.7800000000007"/>
    <n v="94"/>
    <n v="20"/>
    <n v="65161.19"/>
    <n v="21.276599999999998"/>
    <n v="6.6009000000000002"/>
    <x v="0"/>
  </r>
  <r>
    <d v="2025-08-20T00:00:00"/>
    <x v="2"/>
    <s v="Festival Offer"/>
    <n v="3554.06"/>
    <n v="206"/>
    <n v="81"/>
    <n v="427435.6"/>
    <n v="39.320399999999999"/>
    <n v="119.2668"/>
    <x v="0"/>
  </r>
  <r>
    <d v="2025-10-25T00:00:00"/>
    <x v="1"/>
    <s v="Lead Generation"/>
    <n v="14893.76"/>
    <n v="107"/>
    <n v="8"/>
    <n v="45191.96"/>
    <n v="7.4766000000000004"/>
    <n v="2.0343"/>
    <x v="0"/>
  </r>
  <r>
    <d v="2025-04-24T00:00:00"/>
    <x v="1"/>
    <s v="Lead Generation"/>
    <n v="13780.49"/>
    <n v="117"/>
    <n v="32"/>
    <n v="71430.14"/>
    <n v="27.3504"/>
    <n v="4.1833999999999998"/>
    <x v="0"/>
  </r>
  <r>
    <d v="2025-11-23T00:00:00"/>
    <x v="4"/>
    <s v="Brand Awareness"/>
    <n v="7325.38"/>
    <n v="160"/>
    <n v="4"/>
    <n v="14963.5"/>
    <n v="2.5"/>
    <n v="1.0427"/>
    <x v="0"/>
  </r>
  <r>
    <d v="2025-08-09T00:00:00"/>
    <x v="0"/>
    <s v="New Product Launch"/>
    <n v="6147.28"/>
    <n v="149"/>
    <n v="15"/>
    <n v="66099.13"/>
    <n v="10.0671"/>
    <n v="9.7525999999999993"/>
    <x v="0"/>
  </r>
  <r>
    <d v="2025-03-14T00:00:00"/>
    <x v="3"/>
    <s v="Retargeting Campaign"/>
    <n v="14732.18"/>
    <n v="182"/>
    <n v="20"/>
    <n v="98127.360000000001"/>
    <n v="10.989000000000001"/>
    <n v="5.6607000000000003"/>
    <x v="0"/>
  </r>
  <r>
    <d v="2025-02-25T00:00:00"/>
    <x v="1"/>
    <s v="Lead Generation"/>
    <n v="8055.12"/>
    <n v="213"/>
    <n v="34"/>
    <n v="156075.22"/>
    <n v="15.962400000000001"/>
    <n v="18.375900000000001"/>
    <x v="0"/>
  </r>
  <r>
    <d v="2025-04-18T00:00:00"/>
    <x v="2"/>
    <s v="Retargeting Campaign"/>
    <n v="11401.9"/>
    <n v="128"/>
    <n v="11"/>
    <n v="24993.51"/>
    <n v="8.5937999999999999"/>
    <n v="1.1919999999999999"/>
    <x v="0"/>
  </r>
  <r>
    <d v="2025-04-30T00:00:00"/>
    <x v="0"/>
    <s v="New Product Launch"/>
    <n v="4981.5"/>
    <n v="28"/>
    <n v="8"/>
    <n v="13963.63"/>
    <n v="28.571400000000001"/>
    <n v="1.8030999999999999"/>
    <x v="0"/>
  </r>
  <r>
    <d v="2025-07-28T00:00:00"/>
    <x v="2"/>
    <s v="Festival Offer"/>
    <n v="12560.12"/>
    <n v="130"/>
    <n v="43"/>
    <n v="165552.78"/>
    <n v="33.076900000000002"/>
    <n v="12.1808"/>
    <x v="0"/>
  </r>
  <r>
    <d v="2025-01-29T00:00:00"/>
    <x v="3"/>
    <s v="Festival Offer"/>
    <n v="2095.7600000000002"/>
    <n v="44"/>
    <n v="13"/>
    <n v="31620.26"/>
    <n v="29.545500000000001"/>
    <n v="14.0877"/>
    <x v="0"/>
  </r>
  <r>
    <d v="2025-05-15T00:00:00"/>
    <x v="2"/>
    <s v="Festival Offer"/>
    <n v="10081.549999999999"/>
    <n v="44"/>
    <n v="10"/>
    <n v="11304.03"/>
    <n v="22.7273"/>
    <n v="0.12130000000000001"/>
    <x v="0"/>
  </r>
  <r>
    <d v="2025-04-19T00:00:00"/>
    <x v="2"/>
    <s v="Festival Offer"/>
    <n v="4868.43"/>
    <n v="21"/>
    <n v="6"/>
    <n v="14731.16"/>
    <n v="28.571400000000001"/>
    <n v="2.0259"/>
    <x v="0"/>
  </r>
  <r>
    <d v="2025-07-15T00:00:00"/>
    <x v="4"/>
    <s v="Festival Offer"/>
    <n v="11291.7"/>
    <n v="175"/>
    <n v="17"/>
    <n v="39314.300000000003"/>
    <n v="9.7142999999999997"/>
    <n v="2.4817"/>
    <x v="0"/>
  </r>
  <r>
    <d v="2025-12-15T00:00:00"/>
    <x v="2"/>
    <s v="Brand Awareness"/>
    <n v="1163.81"/>
    <n v="242"/>
    <n v="10"/>
    <n v="46427.97"/>
    <n v="4.1322000000000001"/>
    <n v="38.893099999999997"/>
    <x v="0"/>
  </r>
  <r>
    <d v="2025-04-25T00:00:00"/>
    <x v="1"/>
    <s v="Retargeting Campaign"/>
    <n v="14444.26"/>
    <n v="120"/>
    <n v="43"/>
    <n v="59010.71"/>
    <n v="35.833300000000001"/>
    <n v="3.0853999999999999"/>
    <x v="0"/>
  </r>
  <r>
    <d v="2025-07-09T00:00:00"/>
    <x v="1"/>
    <s v="Retargeting Campaign"/>
    <n v="5273.96"/>
    <n v="159"/>
    <n v="25"/>
    <n v="37456.339999999997"/>
    <n v="15.7233"/>
    <n v="6.1021000000000001"/>
    <x v="0"/>
  </r>
  <r>
    <d v="2025-10-30T00:00:00"/>
    <x v="2"/>
    <s v="Brand Awareness"/>
    <n v="1355.71"/>
    <n v="130"/>
    <n v="1"/>
    <n v="4899.87"/>
    <n v="0.76919999999999999"/>
    <n v="2.6141999999999999"/>
    <x v="0"/>
  </r>
  <r>
    <d v="2025-04-09T00:00:00"/>
    <x v="0"/>
    <s v="New Product Launch"/>
    <n v="13257.9"/>
    <n v="111"/>
    <n v="39"/>
    <n v="94875.24"/>
    <n v="35.135100000000001"/>
    <n v="6.1561000000000003"/>
    <x v="0"/>
  </r>
  <r>
    <d v="2025-10-22T00:00:00"/>
    <x v="2"/>
    <s v="Retargeting Campaign"/>
    <n v="7002.81"/>
    <n v="44"/>
    <n v="14"/>
    <n v="49978.97"/>
    <n v="31.818200000000001"/>
    <n v="6.1369999999999996"/>
    <x v="0"/>
  </r>
  <r>
    <d v="2025-09-09T00:00:00"/>
    <x v="4"/>
    <s v="Festival Offer"/>
    <n v="8074.41"/>
    <n v="95"/>
    <n v="29"/>
    <n v="54477.64"/>
    <n v="30.526299999999999"/>
    <n v="5.7469000000000001"/>
    <x v="0"/>
  </r>
  <r>
    <d v="2025-06-09T00:00:00"/>
    <x v="0"/>
    <s v="Brand Awareness"/>
    <n v="2081.96"/>
    <n v="47"/>
    <n v="12"/>
    <n v="63837.86"/>
    <n v="25.5319"/>
    <n v="29.662400000000002"/>
    <x v="0"/>
  </r>
  <r>
    <d v="2025-06-05T00:00:00"/>
    <x v="3"/>
    <s v="Brand Awareness"/>
    <n v="1334.31"/>
    <n v="123"/>
    <n v="16"/>
    <n v="83960.960000000006"/>
    <n v="13.008100000000001"/>
    <n v="61.924599999999998"/>
    <x v="0"/>
  </r>
  <r>
    <d v="2025-01-10T00:00:00"/>
    <x v="3"/>
    <s v="Brand Awareness"/>
    <n v="2644.13"/>
    <n v="135"/>
    <n v="28"/>
    <n v="114463.08"/>
    <n v="20.7407"/>
    <n v="42.289499999999997"/>
    <x v="0"/>
  </r>
  <r>
    <d v="2025-11-22T00:00:00"/>
    <x v="3"/>
    <s v="Lead Generation"/>
    <n v="1848.84"/>
    <n v="113"/>
    <n v="1"/>
    <n v="4085.62"/>
    <n v="0.88500000000000001"/>
    <n v="1.2098"/>
    <x v="0"/>
  </r>
  <r>
    <d v="2025-03-05T00:00:00"/>
    <x v="0"/>
    <s v="Lead Generation"/>
    <n v="8957.83"/>
    <n v="33"/>
    <n v="10"/>
    <n v="41399.629999999997"/>
    <n v="30.303000000000001"/>
    <n v="3.6215999999999999"/>
    <x v="0"/>
  </r>
  <r>
    <d v="2025-08-02T00:00:00"/>
    <x v="2"/>
    <s v="Brand Awareness"/>
    <n v="6377.66"/>
    <n v="36"/>
    <n v="9"/>
    <n v="42532.72"/>
    <n v="25"/>
    <n v="5.6689999999999996"/>
    <x v="0"/>
  </r>
  <r>
    <d v="2025-02-21T00:00:00"/>
    <x v="2"/>
    <s v="New Product Launch"/>
    <n v="11516.13"/>
    <n v="85"/>
    <n v="15"/>
    <n v="42388"/>
    <n v="17.647099999999998"/>
    <n v="2.6808000000000001"/>
    <x v="0"/>
  </r>
  <r>
    <d v="2025-01-27T00:00:00"/>
    <x v="4"/>
    <s v="Festival Offer"/>
    <n v="3161.13"/>
    <n v="96"/>
    <n v="5"/>
    <n v="13173.92"/>
    <n v="5.2083000000000004"/>
    <n v="3.1675"/>
    <x v="0"/>
  </r>
  <r>
    <d v="2025-07-06T00:00:00"/>
    <x v="4"/>
    <s v="Festival Offer"/>
    <n v="14806.47"/>
    <n v="153"/>
    <n v="53"/>
    <n v="94865.97"/>
    <n v="34.640500000000003"/>
    <n v="5.4070999999999998"/>
    <x v="0"/>
  </r>
  <r>
    <d v="2025-12-23T00:00:00"/>
    <x v="4"/>
    <s v="Festival Offer"/>
    <n v="1505.49"/>
    <n v="87"/>
    <n v="28"/>
    <n v="144794.84"/>
    <n v="32.183900000000001"/>
    <n v="95.177899999999994"/>
    <x v="0"/>
  </r>
  <r>
    <d v="2025-08-26T00:00:00"/>
    <x v="4"/>
    <s v="Brand Awareness"/>
    <n v="8188.23"/>
    <n v="139"/>
    <n v="18"/>
    <n v="31115.02"/>
    <n v="12.9496"/>
    <n v="2.8"/>
    <x v="0"/>
  </r>
  <r>
    <d v="2025-10-12T00:00:00"/>
    <x v="3"/>
    <s v="Festival Offer"/>
    <n v="11278.94"/>
    <n v="63"/>
    <n v="11"/>
    <n v="15967.21"/>
    <n v="17.4603"/>
    <n v="0.41570000000000001"/>
    <x v="0"/>
  </r>
  <r>
    <d v="2025-12-17T00:00:00"/>
    <x v="2"/>
    <s v="Lead Generation"/>
    <n v="11530.86"/>
    <n v="178"/>
    <n v="64"/>
    <n v="336780.68"/>
    <n v="35.955100000000002"/>
    <n v="28.206900000000001"/>
    <x v="0"/>
  </r>
  <r>
    <d v="2025-04-14T00:00:00"/>
    <x v="4"/>
    <s v="Festival Offer"/>
    <n v="4597.63"/>
    <n v="111"/>
    <n v="9"/>
    <n v="19883.47"/>
    <n v="8.1081000000000003"/>
    <n v="3.3247"/>
    <x v="0"/>
  </r>
  <r>
    <d v="2025-03-30T00:00:00"/>
    <x v="3"/>
    <s v="Retargeting Campaign"/>
    <n v="8298.36"/>
    <n v="211"/>
    <n v="5"/>
    <n v="16753.939999999999"/>
    <n v="2.3696999999999999"/>
    <n v="1.0188999999999999"/>
    <x v="0"/>
  </r>
  <r>
    <d v="2025-01-30T00:00:00"/>
    <x v="4"/>
    <s v="Festival Offer"/>
    <n v="2468.91"/>
    <n v="221"/>
    <n v="84"/>
    <n v="387766.2"/>
    <n v="38.009"/>
    <n v="156.05969999999999"/>
    <x v="0"/>
  </r>
  <r>
    <d v="2025-02-17T00:00:00"/>
    <x v="0"/>
    <s v="Festival Offer"/>
    <n v="8045.14"/>
    <n v="106"/>
    <n v="39"/>
    <n v="81839.11"/>
    <n v="36.792499999999997"/>
    <n v="9.1724999999999994"/>
    <x v="0"/>
  </r>
  <r>
    <d v="2025-05-06T00:00:00"/>
    <x v="2"/>
    <s v="Festival Offer"/>
    <n v="2417.88"/>
    <n v="188"/>
    <n v="66"/>
    <n v="367907.96"/>
    <n v="35.106400000000001"/>
    <n v="151.16139999999999"/>
    <x v="0"/>
  </r>
  <r>
    <d v="2025-06-25T00:00:00"/>
    <x v="1"/>
    <s v="Retargeting Campaign"/>
    <n v="7555.1"/>
    <n v="26"/>
    <n v="8"/>
    <n v="36242.69"/>
    <n v="30.769200000000001"/>
    <n v="3.7970999999999999"/>
    <x v="0"/>
  </r>
  <r>
    <d v="2025-12-07T00:00:00"/>
    <x v="1"/>
    <s v="New Product Launch"/>
    <n v="7517.09"/>
    <n v="205"/>
    <n v="66"/>
    <n v="100682.97"/>
    <n v="32.195099999999996"/>
    <n v="12.3939"/>
    <x v="0"/>
  </r>
  <r>
    <d v="2025-11-05T00:00:00"/>
    <x v="4"/>
    <s v="Retargeting Campaign"/>
    <n v="5354.02"/>
    <n v="76"/>
    <n v="13"/>
    <n v="74590.289999999994"/>
    <n v="17.1053"/>
    <n v="12.9316"/>
    <x v="0"/>
  </r>
  <r>
    <d v="2025-08-26T00:00:00"/>
    <x v="4"/>
    <s v="New Product Launch"/>
    <n v="3234.68"/>
    <n v="173"/>
    <n v="64"/>
    <n v="329505.73"/>
    <n v="36.994199999999999"/>
    <n v="100.86660000000001"/>
    <x v="0"/>
  </r>
  <r>
    <d v="2025-06-13T00:00:00"/>
    <x v="4"/>
    <s v="Lead Generation"/>
    <n v="11035.94"/>
    <n v="86"/>
    <n v="2"/>
    <n v="7864.63"/>
    <n v="2.3256000000000001"/>
    <n v="-0.28739999999999999"/>
    <x v="1"/>
  </r>
  <r>
    <d v="2025-02-16T00:00:00"/>
    <x v="4"/>
    <s v="Retargeting Campaign"/>
    <n v="12402.41"/>
    <n v="35"/>
    <n v="9"/>
    <n v="33085.5"/>
    <n v="25.714300000000001"/>
    <n v="1.6677"/>
    <x v="0"/>
  </r>
  <r>
    <d v="2025-12-26T00:00:00"/>
    <x v="2"/>
    <s v="New Product Launch"/>
    <n v="7672.2"/>
    <n v="140"/>
    <n v="24"/>
    <n v="40946.31"/>
    <n v="17.142900000000001"/>
    <n v="4.3369999999999997"/>
    <x v="0"/>
  </r>
  <r>
    <d v="2025-11-11T00:00:00"/>
    <x v="2"/>
    <s v="Retargeting Campaign"/>
    <n v="7178.08"/>
    <n v="218"/>
    <n v="70"/>
    <n v="210280.79"/>
    <n v="32.110100000000003"/>
    <n v="28.294899999999998"/>
    <x v="0"/>
  </r>
  <r>
    <d v="2025-04-08T00:00:00"/>
    <x v="1"/>
    <s v="Brand Awareness"/>
    <n v="5761.07"/>
    <n v="20"/>
    <n v="3"/>
    <n v="6113.39"/>
    <n v="15"/>
    <n v="6.1199999999999997E-2"/>
    <x v="0"/>
  </r>
  <r>
    <d v="2025-06-21T00:00:00"/>
    <x v="1"/>
    <s v="Festival Offer"/>
    <n v="3042.12"/>
    <n v="165"/>
    <n v="43"/>
    <n v="190956.39"/>
    <n v="26.060600000000001"/>
    <n v="61.770800000000001"/>
    <x v="0"/>
  </r>
  <r>
    <d v="2025-11-08T00:00:00"/>
    <x v="4"/>
    <s v="New Product Launch"/>
    <n v="11911.42"/>
    <n v="86"/>
    <n v="30"/>
    <n v="178283.83"/>
    <n v="34.883699999999997"/>
    <n v="13.967499999999999"/>
    <x v="0"/>
  </r>
  <r>
    <d v="2025-03-08T00:00:00"/>
    <x v="1"/>
    <s v="Brand Awareness"/>
    <n v="4138.6499999999996"/>
    <n v="55"/>
    <n v="19"/>
    <n v="91324.13"/>
    <n v="34.545499999999997"/>
    <n v="21.066199999999998"/>
    <x v="0"/>
  </r>
  <r>
    <d v="2025-08-04T00:00:00"/>
    <x v="1"/>
    <s v="Lead Generation"/>
    <n v="1606.56"/>
    <n v="60"/>
    <n v="1"/>
    <n v="3004.12"/>
    <n v="1.6667000000000001"/>
    <n v="0.86990000000000001"/>
    <x v="0"/>
  </r>
  <r>
    <d v="2025-05-08T00:00:00"/>
    <x v="1"/>
    <s v="Brand Awareness"/>
    <n v="14381.56"/>
    <n v="120"/>
    <n v="21"/>
    <n v="31380.49"/>
    <n v="17.5"/>
    <n v="1.1819999999999999"/>
    <x v="0"/>
  </r>
  <r>
    <d v="2025-08-16T00:00:00"/>
    <x v="3"/>
    <s v="Brand Awareness"/>
    <n v="13418.11"/>
    <n v="70"/>
    <n v="2"/>
    <n v="2537.8000000000002"/>
    <n v="2.8571"/>
    <n v="-0.81089999999999995"/>
    <x v="1"/>
  </r>
  <r>
    <d v="2025-02-09T00:00:00"/>
    <x v="0"/>
    <s v="Brand Awareness"/>
    <n v="3175.83"/>
    <n v="47"/>
    <n v="2"/>
    <n v="9779.7199999999993"/>
    <n v="4.2553000000000001"/>
    <n v="2.0794000000000001"/>
    <x v="0"/>
  </r>
  <r>
    <d v="2025-02-20T00:00:00"/>
    <x v="3"/>
    <s v="Festival Offer"/>
    <n v="12186.72"/>
    <n v="240"/>
    <n v="15"/>
    <n v="40700.959999999999"/>
    <n v="6.25"/>
    <n v="2.3397999999999999"/>
    <x v="0"/>
  </r>
  <r>
    <d v="2025-12-23T00:00:00"/>
    <x v="1"/>
    <s v="Retargeting Campaign"/>
    <n v="11149.61"/>
    <n v="232"/>
    <n v="48"/>
    <n v="91153"/>
    <n v="20.689699999999998"/>
    <n v="7.1753999999999998"/>
    <x v="0"/>
  </r>
  <r>
    <d v="2025-10-08T00:00:00"/>
    <x v="2"/>
    <s v="Festival Offer"/>
    <n v="2139.16"/>
    <n v="175"/>
    <n v="33"/>
    <n v="168001.67"/>
    <n v="18.857099999999999"/>
    <n v="77.536299999999997"/>
    <x v="0"/>
  </r>
  <r>
    <d v="2025-09-15T00:00:00"/>
    <x v="2"/>
    <s v="Brand Awareness"/>
    <n v="2996.94"/>
    <n v="121"/>
    <n v="27"/>
    <n v="36957.699999999997"/>
    <n v="22.314"/>
    <n v="11.331799999999999"/>
    <x v="0"/>
  </r>
  <r>
    <d v="2025-01-23T00:00:00"/>
    <x v="1"/>
    <s v="Lead Generation"/>
    <n v="5856.77"/>
    <n v="143"/>
    <n v="8"/>
    <n v="8044.12"/>
    <n v="5.5944000000000003"/>
    <n v="0.3735"/>
    <x v="0"/>
  </r>
  <r>
    <d v="2025-11-16T00:00:00"/>
    <x v="1"/>
    <s v="Festival Offer"/>
    <n v="11837.83"/>
    <n v="197"/>
    <n v="18"/>
    <n v="46386.93"/>
    <n v="9.1371000000000002"/>
    <n v="2.9184999999999999"/>
    <x v="0"/>
  </r>
  <r>
    <d v="2025-08-05T00:00:00"/>
    <x v="0"/>
    <s v="New Product Launch"/>
    <n v="8041.82"/>
    <n v="164"/>
    <n v="60"/>
    <n v="241831.26"/>
    <n v="36.5854"/>
    <n v="29.0717"/>
    <x v="0"/>
  </r>
  <r>
    <d v="2025-02-15T00:00:00"/>
    <x v="2"/>
    <s v="Festival Offer"/>
    <n v="8314.9"/>
    <n v="177"/>
    <n v="50"/>
    <n v="168625.48"/>
    <n v="28.2486"/>
    <n v="19.279900000000001"/>
    <x v="0"/>
  </r>
  <r>
    <d v="2025-05-06T00:00:00"/>
    <x v="0"/>
    <s v="New Product Launch"/>
    <n v="13717.99"/>
    <n v="73"/>
    <n v="1"/>
    <n v="1982.46"/>
    <n v="1.3698999999999999"/>
    <n v="-0.85550000000000004"/>
    <x v="1"/>
  </r>
  <r>
    <d v="2025-08-02T00:00:00"/>
    <x v="2"/>
    <s v="Retargeting Campaign"/>
    <n v="10452.75"/>
    <n v="142"/>
    <n v="37"/>
    <n v="157667.22"/>
    <n v="26.0563"/>
    <n v="14.0838"/>
    <x v="0"/>
  </r>
  <r>
    <d v="2025-11-08T00:00:00"/>
    <x v="2"/>
    <s v="Retargeting Campaign"/>
    <n v="3637.84"/>
    <n v="50"/>
    <n v="3"/>
    <n v="7957.95"/>
    <n v="6"/>
    <n v="1.1875"/>
    <x v="0"/>
  </r>
  <r>
    <d v="2025-12-30T00:00:00"/>
    <x v="1"/>
    <s v="New Product Launch"/>
    <n v="14524.49"/>
    <n v="168"/>
    <n v="1"/>
    <n v="2229.46"/>
    <n v="0.59519999999999995"/>
    <n v="-0.84650000000000003"/>
    <x v="1"/>
  </r>
  <r>
    <d v="2025-12-28T00:00:00"/>
    <x v="2"/>
    <s v="Lead Generation"/>
    <n v="10529.82"/>
    <n v="80"/>
    <n v="32"/>
    <n v="88549.759999999995"/>
    <n v="40"/>
    <n v="7.4093999999999998"/>
    <x v="0"/>
  </r>
  <r>
    <d v="2025-09-26T00:00:00"/>
    <x v="4"/>
    <s v="Brand Awareness"/>
    <n v="12768.84"/>
    <n v="116"/>
    <n v="32"/>
    <n v="119036.49"/>
    <n v="27.586200000000002"/>
    <n v="8.3224"/>
    <x v="0"/>
  </r>
  <r>
    <d v="2025-04-23T00:00:00"/>
    <x v="0"/>
    <s v="Brand Awareness"/>
    <n v="14181.97"/>
    <n v="164"/>
    <n v="35"/>
    <n v="105637.75999999999"/>
    <n v="21.3415"/>
    <n v="6.4486999999999997"/>
    <x v="0"/>
  </r>
  <r>
    <d v="2025-09-01T00:00:00"/>
    <x v="1"/>
    <s v="Lead Generation"/>
    <n v="2037.01"/>
    <n v="84"/>
    <n v="4"/>
    <n v="7415.27"/>
    <n v="4.7618999999999998"/>
    <n v="2.6402999999999999"/>
    <x v="0"/>
  </r>
  <r>
    <d v="2025-10-23T00:00:00"/>
    <x v="2"/>
    <s v="Lead Generation"/>
    <n v="9188.4599999999991"/>
    <n v="249"/>
    <n v="73"/>
    <n v="125195.1"/>
    <n v="29.317299999999999"/>
    <n v="12.625299999999999"/>
    <x v="0"/>
  </r>
  <r>
    <d v="2025-06-22T00:00:00"/>
    <x v="1"/>
    <s v="New Product Launch"/>
    <n v="8359.26"/>
    <n v="102"/>
    <n v="28"/>
    <n v="162318.35"/>
    <n v="27.451000000000001"/>
    <n v="18.4178"/>
    <x v="0"/>
  </r>
  <r>
    <d v="2025-07-15T00:00:00"/>
    <x v="0"/>
    <s v="Festival Offer"/>
    <n v="3111.53"/>
    <n v="189"/>
    <n v="53"/>
    <n v="61899.41"/>
    <n v="28.042300000000001"/>
    <n v="18.893599999999999"/>
    <x v="0"/>
  </r>
  <r>
    <d v="2025-09-20T00:00:00"/>
    <x v="4"/>
    <s v="Retargeting Campaign"/>
    <n v="3121.06"/>
    <n v="148"/>
    <n v="14"/>
    <n v="42128.67"/>
    <n v="9.4595000000000002"/>
    <n v="12.498200000000001"/>
    <x v="0"/>
  </r>
  <r>
    <d v="2025-12-23T00:00:00"/>
    <x v="0"/>
    <s v="Festival Offer"/>
    <n v="12098.11"/>
    <n v="59"/>
    <n v="4"/>
    <n v="9638.76"/>
    <n v="6.7797000000000001"/>
    <n v="-0.20330000000000001"/>
    <x v="1"/>
  </r>
  <r>
    <d v="2025-04-25T00:00:00"/>
    <x v="4"/>
    <s v="Festival Offer"/>
    <n v="2831.88"/>
    <n v="173"/>
    <n v="20"/>
    <n v="32208.97"/>
    <n v="11.560700000000001"/>
    <n v="10.373699999999999"/>
    <x v="0"/>
  </r>
  <r>
    <d v="2025-10-10T00:00:00"/>
    <x v="2"/>
    <s v="New Product Launch"/>
    <n v="7794.99"/>
    <n v="95"/>
    <n v="10"/>
    <n v="49774.11"/>
    <n v="10.526300000000001"/>
    <n v="5.3853999999999997"/>
    <x v="0"/>
  </r>
  <r>
    <d v="2025-05-01T00:00:00"/>
    <x v="1"/>
    <s v="Lead Generation"/>
    <n v="7076.51"/>
    <n v="51"/>
    <n v="14"/>
    <n v="43234.17"/>
    <n v="27.451000000000001"/>
    <n v="5.1094999999999997"/>
    <x v="0"/>
  </r>
  <r>
    <d v="2025-08-26T00:00:00"/>
    <x v="0"/>
    <s v="New Product Launch"/>
    <n v="8898.02"/>
    <n v="223"/>
    <n v="8"/>
    <n v="33942.51"/>
    <n v="3.5874000000000001"/>
    <n v="2.8146"/>
    <x v="0"/>
  </r>
  <r>
    <d v="2025-03-13T00:00:00"/>
    <x v="3"/>
    <s v="New Product Launch"/>
    <n v="7490.08"/>
    <n v="117"/>
    <n v="31"/>
    <n v="60836.84"/>
    <n v="26.495699999999999"/>
    <n v="7.1223000000000001"/>
    <x v="0"/>
  </r>
  <r>
    <d v="2025-08-29T00:00:00"/>
    <x v="3"/>
    <s v="Retargeting Campaign"/>
    <n v="12188.69"/>
    <n v="220"/>
    <n v="10"/>
    <n v="32072.73"/>
    <n v="4.5454999999999997"/>
    <n v="1.6314"/>
    <x v="0"/>
  </r>
  <r>
    <d v="2025-12-01T00:00:00"/>
    <x v="1"/>
    <s v="Lead Generation"/>
    <n v="9597.17"/>
    <n v="158"/>
    <n v="61"/>
    <n v="301895.21999999997"/>
    <n v="38.607599999999998"/>
    <n v="30.456700000000001"/>
    <x v="0"/>
  </r>
  <r>
    <d v="2025-06-03T00:00:00"/>
    <x v="2"/>
    <s v="Retargeting Campaign"/>
    <n v="11011.67"/>
    <n v="224"/>
    <n v="55"/>
    <n v="202097.25"/>
    <n v="24.553599999999999"/>
    <n v="17.353000000000002"/>
    <x v="0"/>
  </r>
  <r>
    <d v="2025-09-09T00:00:00"/>
    <x v="3"/>
    <s v="Retargeting Campaign"/>
    <n v="14220.26"/>
    <n v="82"/>
    <n v="8"/>
    <n v="10642.4"/>
    <n v="9.7561"/>
    <n v="-0.25159999999999999"/>
    <x v="1"/>
  </r>
  <r>
    <d v="2025-08-09T00:00:00"/>
    <x v="2"/>
    <s v="New Product Launch"/>
    <n v="7072.33"/>
    <n v="244"/>
    <n v="45"/>
    <n v="221445.85"/>
    <n v="18.442599999999999"/>
    <n v="30.311599999999999"/>
    <x v="0"/>
  </r>
  <r>
    <d v="2025-08-31T00:00:00"/>
    <x v="3"/>
    <s v="Festival Offer"/>
    <n v="1185.02"/>
    <n v="83"/>
    <n v="27"/>
    <n v="75525.119999999995"/>
    <n v="32.530099999999997"/>
    <n v="62.733199999999997"/>
    <x v="0"/>
  </r>
  <r>
    <d v="2025-11-07T00:00:00"/>
    <x v="3"/>
    <s v="Lead Generation"/>
    <n v="9677.7900000000009"/>
    <n v="33"/>
    <n v="8"/>
    <n v="41306.65"/>
    <n v="24.2424"/>
    <n v="3.2682000000000002"/>
    <x v="0"/>
  </r>
  <r>
    <d v="2025-09-01T00:00:00"/>
    <x v="3"/>
    <s v="Brand Awareness"/>
    <n v="13528.34"/>
    <n v="203"/>
    <n v="50"/>
    <n v="80813.23"/>
    <n v="24.630500000000001"/>
    <n v="4.9736000000000002"/>
    <x v="0"/>
  </r>
  <r>
    <d v="2025-11-13T00:00:00"/>
    <x v="1"/>
    <s v="Lead Generation"/>
    <n v="1889.4"/>
    <n v="84"/>
    <n v="17"/>
    <n v="46129.25"/>
    <n v="20.238099999999999"/>
    <n v="23.4148"/>
    <x v="0"/>
  </r>
  <r>
    <d v="2025-04-03T00:00:00"/>
    <x v="4"/>
    <s v="Retargeting Campaign"/>
    <n v="11783.91"/>
    <n v="116"/>
    <n v="36"/>
    <n v="105811.26"/>
    <n v="31.034500000000001"/>
    <n v="7.9793000000000003"/>
    <x v="0"/>
  </r>
  <r>
    <d v="2025-06-23T00:00:00"/>
    <x v="0"/>
    <s v="New Product Launch"/>
    <n v="4618.28"/>
    <n v="78"/>
    <n v="25"/>
    <n v="25517.72"/>
    <n v="32.051299999999998"/>
    <n v="4.5254000000000003"/>
    <x v="0"/>
  </r>
  <r>
    <d v="2025-09-23T00:00:00"/>
    <x v="2"/>
    <s v="Brand Awareness"/>
    <n v="8542.42"/>
    <n v="50"/>
    <n v="9"/>
    <n v="35621.29"/>
    <n v="18"/>
    <n v="3.1699000000000002"/>
    <x v="0"/>
  </r>
  <r>
    <d v="2025-08-17T00:00:00"/>
    <x v="3"/>
    <s v="Brand Awareness"/>
    <n v="7881.49"/>
    <n v="143"/>
    <n v="12"/>
    <n v="53876.21"/>
    <n v="8.3916000000000004"/>
    <n v="5.8357999999999999"/>
    <x v="0"/>
  </r>
  <r>
    <d v="2025-06-12T00:00:00"/>
    <x v="4"/>
    <s v="Retargeting Campaign"/>
    <n v="12016.32"/>
    <n v="230"/>
    <n v="44"/>
    <n v="261683.59"/>
    <n v="19.130400000000002"/>
    <n v="20.7773"/>
    <x v="0"/>
  </r>
  <r>
    <d v="2025-11-12T00:00:00"/>
    <x v="3"/>
    <s v="New Product Launch"/>
    <n v="6722.52"/>
    <n v="109"/>
    <n v="22"/>
    <n v="36563.279999999999"/>
    <n v="20.183499999999999"/>
    <n v="4.4389000000000003"/>
    <x v="0"/>
  </r>
  <r>
    <d v="2025-10-13T00:00:00"/>
    <x v="2"/>
    <s v="Lead Generation"/>
    <n v="8843.61"/>
    <n v="235"/>
    <n v="33"/>
    <n v="168499.19"/>
    <n v="14.0426"/>
    <n v="18.0532"/>
    <x v="0"/>
  </r>
  <r>
    <d v="2025-05-26T00:00:00"/>
    <x v="4"/>
    <s v="Brand Awareness"/>
    <n v="13606.49"/>
    <n v="127"/>
    <n v="40"/>
    <n v="145884.01999999999"/>
    <n v="31.496099999999998"/>
    <n v="9.7216000000000005"/>
    <x v="0"/>
  </r>
  <r>
    <d v="2025-09-25T00:00:00"/>
    <x v="1"/>
    <s v="Festival Offer"/>
    <n v="14959.53"/>
    <n v="42"/>
    <n v="16"/>
    <n v="62679.29"/>
    <n v="38.095199999999998"/>
    <n v="3.1899000000000002"/>
    <x v="0"/>
  </r>
  <r>
    <d v="2025-11-11T00:00:00"/>
    <x v="3"/>
    <s v="Retargeting Campaign"/>
    <n v="3676.02"/>
    <n v="54"/>
    <n v="17"/>
    <n v="65012.01"/>
    <n v="31.4815"/>
    <n v="16.685400000000001"/>
    <x v="0"/>
  </r>
  <r>
    <d v="2025-07-14T00:00:00"/>
    <x v="1"/>
    <s v="Festival Offer"/>
    <n v="14101.38"/>
    <n v="92"/>
    <n v="5"/>
    <n v="9256.57"/>
    <n v="5.4348000000000001"/>
    <n v="-0.34360000000000002"/>
    <x v="1"/>
  </r>
  <r>
    <d v="2025-11-10T00:00:00"/>
    <x v="3"/>
    <s v="Retargeting Campaign"/>
    <n v="14514.46"/>
    <n v="83"/>
    <n v="24"/>
    <n v="82156.350000000006"/>
    <n v="28.915700000000001"/>
    <n v="4.6603000000000003"/>
    <x v="0"/>
  </r>
  <r>
    <d v="2025-08-17T00:00:00"/>
    <x v="1"/>
    <s v="Festival Offer"/>
    <n v="5022.3"/>
    <n v="216"/>
    <n v="23"/>
    <n v="91587.36"/>
    <n v="10.648099999999999"/>
    <n v="17.2361"/>
    <x v="0"/>
  </r>
  <r>
    <d v="2025-03-16T00:00:00"/>
    <x v="3"/>
    <s v="Retargeting Campaign"/>
    <n v="14820.16"/>
    <n v="201"/>
    <n v="55"/>
    <n v="158569.07999999999"/>
    <n v="27.363199999999999"/>
    <n v="9.6996000000000002"/>
    <x v="0"/>
  </r>
  <r>
    <d v="2025-05-20T00:00:00"/>
    <x v="4"/>
    <s v="Festival Offer"/>
    <n v="9813.93"/>
    <n v="136"/>
    <n v="12"/>
    <n v="66373.399999999994"/>
    <n v="8.8234999999999992"/>
    <n v="5.7632000000000003"/>
    <x v="0"/>
  </r>
  <r>
    <d v="2025-01-02T00:00:00"/>
    <x v="0"/>
    <s v="Brand Awareness"/>
    <n v="2741.03"/>
    <n v="220"/>
    <n v="27"/>
    <n v="69730.009999999995"/>
    <n v="12.2727"/>
    <n v="24.439299999999999"/>
    <x v="0"/>
  </r>
  <r>
    <d v="2025-09-08T00:00:00"/>
    <x v="1"/>
    <s v="Festival Offer"/>
    <n v="13163.77"/>
    <n v="20"/>
    <n v="1"/>
    <n v="1540.51"/>
    <n v="5"/>
    <n v="-0.88300000000000001"/>
    <x v="1"/>
  </r>
  <r>
    <d v="2025-07-01T00:00:00"/>
    <x v="2"/>
    <s v="Retargeting Campaign"/>
    <n v="11048.48"/>
    <n v="225"/>
    <n v="14"/>
    <n v="58336.07"/>
    <n v="6.2222"/>
    <n v="4.28"/>
    <x v="0"/>
  </r>
  <r>
    <d v="2025-09-07T00:00:00"/>
    <x v="0"/>
    <s v="Festival Offer"/>
    <n v="9175.9"/>
    <n v="193"/>
    <n v="52"/>
    <n v="271928.12"/>
    <n v="26.943000000000001"/>
    <n v="28.635000000000002"/>
    <x v="0"/>
  </r>
  <r>
    <d v="2025-06-06T00:00:00"/>
    <x v="4"/>
    <s v="Lead Generation"/>
    <n v="13463.59"/>
    <n v="229"/>
    <n v="84"/>
    <n v="447633.62"/>
    <n v="36.681199999999997"/>
    <n v="32.247700000000002"/>
    <x v="0"/>
  </r>
  <r>
    <d v="2025-01-12T00:00:00"/>
    <x v="3"/>
    <s v="Lead Generation"/>
    <n v="12382.64"/>
    <n v="128"/>
    <n v="32"/>
    <n v="186717.47"/>
    <n v="25"/>
    <n v="14.079000000000001"/>
    <x v="0"/>
  </r>
  <r>
    <d v="2025-02-13T00:00:00"/>
    <x v="1"/>
    <s v="Festival Offer"/>
    <n v="14852.61"/>
    <n v="234"/>
    <n v="39"/>
    <n v="215671.48"/>
    <n v="16.666699999999999"/>
    <n v="13.520799999999999"/>
    <x v="0"/>
  </r>
  <r>
    <d v="2025-10-27T00:00:00"/>
    <x v="4"/>
    <s v="Retargeting Campaign"/>
    <n v="14886.19"/>
    <n v="86"/>
    <n v="14"/>
    <n v="57627.44"/>
    <n v="16.2791"/>
    <n v="2.8712"/>
    <x v="0"/>
  </r>
  <r>
    <d v="2025-10-31T00:00:00"/>
    <x v="2"/>
    <s v="Festival Offer"/>
    <n v="3378.74"/>
    <n v="40"/>
    <n v="16"/>
    <n v="76825.47"/>
    <n v="40"/>
    <n v="21.7379"/>
    <x v="0"/>
  </r>
  <r>
    <d v="2025-12-04T00:00:00"/>
    <x v="0"/>
    <s v="Brand Awareness"/>
    <n v="5995.12"/>
    <n v="130"/>
    <n v="29"/>
    <n v="99755.38"/>
    <n v="22.307700000000001"/>
    <n v="15.6394"/>
    <x v="0"/>
  </r>
  <r>
    <d v="2025-01-05T00:00:00"/>
    <x v="0"/>
    <s v="Brand Awareness"/>
    <n v="6265.88"/>
    <n v="167"/>
    <n v="53"/>
    <n v="279184.93"/>
    <n v="31.736499999999999"/>
    <n v="43.556399999999996"/>
    <x v="0"/>
  </r>
  <r>
    <d v="2025-01-11T00:00:00"/>
    <x v="2"/>
    <s v="Brand Awareness"/>
    <n v="13643.22"/>
    <n v="191"/>
    <n v="31"/>
    <n v="179960.25"/>
    <n v="16.230399999999999"/>
    <n v="12.1905"/>
    <x v="0"/>
  </r>
  <r>
    <d v="2025-01-15T00:00:00"/>
    <x v="2"/>
    <s v="Lead Generation"/>
    <n v="4872.0600000000004"/>
    <n v="93"/>
    <n v="4"/>
    <n v="17629.45"/>
    <n v="4.3010999999999999"/>
    <n v="2.6185"/>
    <x v="0"/>
  </r>
  <r>
    <d v="2025-11-21T00:00:00"/>
    <x v="2"/>
    <s v="Festival Offer"/>
    <n v="14645.35"/>
    <n v="192"/>
    <n v="76"/>
    <n v="159028.69"/>
    <n v="39.583300000000001"/>
    <n v="9.8585999999999991"/>
    <x v="0"/>
  </r>
  <r>
    <d v="2025-11-21T00:00:00"/>
    <x v="3"/>
    <s v="Festival Offer"/>
    <n v="7980.63"/>
    <n v="126"/>
    <n v="31"/>
    <n v="44048.54"/>
    <n v="24.603200000000001"/>
    <n v="4.5194000000000001"/>
    <x v="0"/>
  </r>
  <r>
    <d v="2025-09-22T00:00:00"/>
    <x v="0"/>
    <s v="Lead Generation"/>
    <n v="8190.59"/>
    <n v="135"/>
    <n v="10"/>
    <n v="58116.14"/>
    <n v="7.4074"/>
    <n v="6.0955000000000004"/>
    <x v="0"/>
  </r>
  <r>
    <d v="2025-11-19T00:00:00"/>
    <x v="2"/>
    <s v="Lead Generation"/>
    <n v="5340.21"/>
    <n v="156"/>
    <n v="46"/>
    <n v="240142.62"/>
    <n v="29.487200000000001"/>
    <n v="43.968800000000002"/>
    <x v="0"/>
  </r>
  <r>
    <d v="2025-10-28T00:00:00"/>
    <x v="2"/>
    <s v="Lead Generation"/>
    <n v="8680.2900000000009"/>
    <n v="45"/>
    <n v="13"/>
    <n v="32794.300000000003"/>
    <n v="28.8889"/>
    <n v="2.778"/>
    <x v="0"/>
  </r>
  <r>
    <d v="2025-05-07T00:00:00"/>
    <x v="0"/>
    <s v="Festival Offer"/>
    <n v="13714.74"/>
    <n v="164"/>
    <n v="9"/>
    <n v="37904.57"/>
    <n v="5.4878"/>
    <n v="1.7638"/>
    <x v="0"/>
  </r>
  <r>
    <d v="2025-11-11T00:00:00"/>
    <x v="3"/>
    <s v="New Product Launch"/>
    <n v="1753.49"/>
    <n v="68"/>
    <n v="26"/>
    <n v="76586.14"/>
    <n v="38.235300000000002"/>
    <n v="42.676400000000001"/>
    <x v="0"/>
  </r>
  <r>
    <d v="2025-10-10T00:00:00"/>
    <x v="0"/>
    <s v="Festival Offer"/>
    <n v="10940.66"/>
    <n v="112"/>
    <n v="16"/>
    <n v="25962.95"/>
    <n v="14.2857"/>
    <n v="1.3731"/>
    <x v="0"/>
  </r>
  <r>
    <d v="2025-04-21T00:00:00"/>
    <x v="4"/>
    <s v="Lead Generation"/>
    <n v="6861.19"/>
    <n v="123"/>
    <n v="22"/>
    <n v="89188.83"/>
    <n v="17.886199999999999"/>
    <n v="11.999000000000001"/>
    <x v="0"/>
  </r>
  <r>
    <d v="2025-08-11T00:00:00"/>
    <x v="4"/>
    <s v="Brand Awareness"/>
    <n v="9004.9"/>
    <n v="67"/>
    <n v="8"/>
    <n v="14156.14"/>
    <n v="11.940300000000001"/>
    <n v="0.57199999999999995"/>
    <x v="0"/>
  </r>
  <r>
    <d v="2025-12-22T00:00:00"/>
    <x v="0"/>
    <s v="Festival Offer"/>
    <n v="2108.7399999999998"/>
    <n v="40"/>
    <n v="13"/>
    <n v="19664.07"/>
    <n v="32.5"/>
    <n v="8.3249999999999993"/>
    <x v="0"/>
  </r>
  <r>
    <d v="2025-07-17T00:00:00"/>
    <x v="4"/>
    <s v="Festival Offer"/>
    <n v="12958.97"/>
    <n v="112"/>
    <n v="7"/>
    <n v="9363.41"/>
    <n v="6.25"/>
    <n v="-0.27750000000000002"/>
    <x v="1"/>
  </r>
  <r>
    <d v="2025-04-10T00:00:00"/>
    <x v="2"/>
    <s v="Festival Offer"/>
    <n v="5757.48"/>
    <n v="68"/>
    <n v="9"/>
    <n v="10813.66"/>
    <n v="13.235300000000001"/>
    <n v="0.87819999999999998"/>
    <x v="0"/>
  </r>
  <r>
    <d v="2025-09-12T00:00:00"/>
    <x v="3"/>
    <s v="Festival Offer"/>
    <n v="4667.24"/>
    <n v="61"/>
    <n v="2"/>
    <n v="7567.95"/>
    <n v="3.2787000000000002"/>
    <n v="0.62150000000000005"/>
    <x v="0"/>
  </r>
  <r>
    <d v="2025-06-14T00:00:00"/>
    <x v="4"/>
    <s v="Lead Generation"/>
    <n v="9378.31"/>
    <n v="208"/>
    <n v="10"/>
    <n v="44676.08"/>
    <n v="4.8076999999999996"/>
    <n v="3.7637999999999998"/>
    <x v="0"/>
  </r>
  <r>
    <d v="2025-01-19T00:00:00"/>
    <x v="4"/>
    <s v="New Product Launch"/>
    <n v="8445.2900000000009"/>
    <n v="194"/>
    <n v="55"/>
    <n v="205189.89"/>
    <n v="28.3505"/>
    <n v="23.296399999999998"/>
    <x v="0"/>
  </r>
  <r>
    <d v="2025-01-03T00:00:00"/>
    <x v="3"/>
    <s v="New Product Launch"/>
    <n v="6193.03"/>
    <n v="137"/>
    <n v="49"/>
    <n v="147573.24"/>
    <n v="35.766399999999997"/>
    <n v="22.828900000000001"/>
    <x v="0"/>
  </r>
  <r>
    <d v="2025-11-07T00:00:00"/>
    <x v="1"/>
    <s v="New Product Launch"/>
    <n v="5540.71"/>
    <n v="233"/>
    <n v="27"/>
    <n v="86284.94"/>
    <n v="11.587999999999999"/>
    <n v="14.572900000000001"/>
    <x v="0"/>
  </r>
  <r>
    <d v="2025-02-09T00:00:00"/>
    <x v="2"/>
    <s v="Brand Awareness"/>
    <n v="9968.2999999999993"/>
    <n v="188"/>
    <n v="24"/>
    <n v="142719.03"/>
    <n v="12.766"/>
    <n v="13.317299999999999"/>
    <x v="0"/>
  </r>
  <r>
    <d v="2025-05-26T00:00:00"/>
    <x v="0"/>
    <s v="Lead Generation"/>
    <n v="2999.04"/>
    <n v="236"/>
    <n v="7"/>
    <n v="33875.97"/>
    <n v="2.9661"/>
    <n v="10.295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635AE-A2C9-4890-A359-CF0ED9E2C461}" name="PivotTable8" cacheId="2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 rowHeaderCaption="Platform">
  <location ref="H3:I9" firstHeaderRow="1" firstDataRow="1" firstDataCol="1"/>
  <pivotFields count="10">
    <pivotField numFmtId="164"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onversion Rate" fld="7" subtotal="average" baseField="1" baseItem="2" numFmtId="2"/>
  </dataFields>
  <formats count="3">
    <format dxfId="15">
      <pivotArea collapsedLevelsAreSubtotals="1" fieldPosition="0">
        <references count="1">
          <reference field="1" count="1">
            <x v="0"/>
          </reference>
        </references>
      </pivotArea>
    </format>
    <format dxfId="14">
      <pivotArea collapsedLevelsAreSubtotals="1" fieldPosition="0">
        <references count="1">
          <reference field="1" count="4">
            <x v="1"/>
            <x v="2"/>
            <x v="3"/>
            <x v="4"/>
          </reference>
        </references>
      </pivotArea>
    </format>
    <format dxfId="13">
      <pivotArea grandRow="1" outline="0" collapsedLevelsAreSubtotals="1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D107C-8078-497A-817E-2CEFAABF2D96}" name="PivotTable6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latform">
  <location ref="E11:F17" firstHeaderRow="1" firstDataRow="1" firstDataCol="1"/>
  <pivotFields count="10">
    <pivotField numFmtId="164"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OI" fld="8" subtotal="average" baseField="1" baseItem="0" numFmtId="172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6434D-8D4B-4310-939E-8B17640D3502}" name="PivotTable7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ROI Status">
  <location ref="H11:I14" firstHeaderRow="1" firstDataRow="1" firstDataCol="1"/>
  <pivotFields count="10">
    <pivotField numFmtId="164" showAll="0"/>
    <pivotField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ROI Status" fld="9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966EC-74B7-42A6-9762-31F5290D6E2D}" name="PivotTable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latform">
  <location ref="A11:C17" firstHeaderRow="0" firstDataRow="1" firstDataCol="1"/>
  <pivotFields count="10">
    <pivotField numFmtId="164"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eads Generated" fld="4" baseField="0" baseItem="0"/>
    <dataField name="Sum of Sales Converted" fld="5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EB1FB-4A2E-4B9C-BEE4-C5CEF2F2679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latform">
  <location ref="D3:F9" firstHeaderRow="0" firstDataRow="1" firstDataCol="1"/>
  <pivotFields count="7">
    <pivotField numFmtId="164"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 Spend " fld="3" baseField="1" baseItem="3" numFmtId="169"/>
    <dataField name="Sum of Revenue " fld="6" baseField="0" baseItem="0" numFmtId="170"/>
  </dataFields>
  <formats count="2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7"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53417-2D62-46D3-80E1-DDB6B8E7F8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latform">
  <location ref="A3:B9" firstHeaderRow="1" firstDataRow="1" firstDataCol="1"/>
  <pivotFields count="7">
    <pivotField numFmtId="164"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 " fld="6" baseField="1" baseItem="0" numFmtId="170"/>
  </dataFields>
  <formats count="1">
    <format dxfId="1">
      <pivotArea outline="0" collapsedLevelsAreSubtotals="1" fieldPosition="0"/>
    </format>
  </formats>
  <chartFormats count="1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CCC849-D62C-48F5-9988-F056D9829D8B}" name="Table1" displayName="Table1" ref="A1:J1001" totalsRowShown="0" headerRowDxfId="17">
  <autoFilter ref="A1:J1001" xr:uid="{37CCC849-D62C-48F5-9988-F056D9829D8B}"/>
  <tableColumns count="10">
    <tableColumn id="1" xr3:uid="{D41615E3-27E0-49A5-8764-B2EA574D6FE7}" name="Date" dataDxfId="18"/>
    <tableColumn id="2" xr3:uid="{D951F6D7-8899-4ECA-A9BC-7A9B0A11EB08}" name="Platform"/>
    <tableColumn id="3" xr3:uid="{4C791992-748B-4A64-A738-94A98A57B047}" name="Campaign Name"/>
    <tableColumn id="4" xr3:uid="{59AC12AC-62F4-4756-8663-6D58712885DC}" name="Ad Spend "/>
    <tableColumn id="5" xr3:uid="{A5A70A9F-364E-4BEC-997E-B2AD05CCFC22}" name="Leads Generated"/>
    <tableColumn id="6" xr3:uid="{714F1554-2F7C-470F-B182-3E5BC4D96CAA}" name="Sales Converted"/>
    <tableColumn id="7" xr3:uid="{C944C406-80D0-4F1E-A367-DECDC70DF39E}" name="Revenue "/>
    <tableColumn id="8" xr3:uid="{962F3D8D-23F3-4893-92F8-57C5DF84ECE4}" name="Conversion Rate" dataDxfId="16">
      <calculatedColumnFormula>ROUND((F2/E2)*100,4)</calculatedColumnFormula>
    </tableColumn>
    <tableColumn id="9" xr3:uid="{B3AB4E52-5D5A-4975-8AA8-3C96F61C5377}" name="ROI" dataDxfId="12">
      <calculatedColumnFormula>ROUND(((G2-D2)/D2),4)</calculatedColumnFormula>
    </tableColumn>
    <tableColumn id="10" xr3:uid="{78E85451-A4D7-472F-8566-529525490B5F}" name="ROI Status">
      <calculatedColumnFormula>IF(I2&gt;0,"Positive","Negative")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09894-F037-44C2-B75B-7B6CD2E2497D}">
  <dimension ref="A3:I17"/>
  <sheetViews>
    <sheetView topLeftCell="F2" zoomScale="79" workbookViewId="0">
      <selection activeCell="I6" sqref="H3:I9"/>
    </sheetView>
  </sheetViews>
  <sheetFormatPr defaultRowHeight="14.4" x14ac:dyDescent="0.3"/>
  <cols>
    <col min="1" max="1" width="11.33203125" bestFit="1" customWidth="1"/>
    <col min="2" max="2" width="15.77734375" bestFit="1" customWidth="1"/>
    <col min="3" max="3" width="21.88671875" bestFit="1" customWidth="1"/>
    <col min="4" max="4" width="11.33203125" bestFit="1" customWidth="1"/>
    <col min="5" max="5" width="16.33203125" bestFit="1" customWidth="1"/>
    <col min="6" max="6" width="15.77734375" bestFit="1" customWidth="1"/>
    <col min="7" max="7" width="9" customWidth="1"/>
    <col min="8" max="8" width="12.6640625" bestFit="1" customWidth="1"/>
    <col min="9" max="9" width="25.5546875" bestFit="1" customWidth="1"/>
  </cols>
  <sheetData>
    <row r="3" spans="1:9" x14ac:dyDescent="0.3">
      <c r="A3" s="3" t="s">
        <v>1</v>
      </c>
      <c r="B3" t="s">
        <v>18</v>
      </c>
      <c r="D3" s="3" t="s">
        <v>1</v>
      </c>
      <c r="E3" t="s">
        <v>19</v>
      </c>
      <c r="F3" t="s">
        <v>18</v>
      </c>
      <c r="H3" s="3" t="s">
        <v>1</v>
      </c>
      <c r="I3" t="s">
        <v>29</v>
      </c>
    </row>
    <row r="4" spans="1:9" x14ac:dyDescent="0.3">
      <c r="A4" s="4" t="s">
        <v>12</v>
      </c>
      <c r="B4" s="9">
        <v>18348276.889999997</v>
      </c>
      <c r="D4" s="4" t="s">
        <v>12</v>
      </c>
      <c r="E4" s="8">
        <v>1635510.2799999996</v>
      </c>
      <c r="F4" s="9">
        <v>18348276.889999997</v>
      </c>
      <c r="H4" s="4" t="s">
        <v>12</v>
      </c>
      <c r="I4" s="11">
        <v>20.124177889447235</v>
      </c>
    </row>
    <row r="5" spans="1:9" x14ac:dyDescent="0.3">
      <c r="A5" s="4" t="s">
        <v>7</v>
      </c>
      <c r="B5" s="9">
        <v>18868471.179999996</v>
      </c>
      <c r="D5" s="4" t="s">
        <v>7</v>
      </c>
      <c r="E5" s="8">
        <v>1765294.9799999993</v>
      </c>
      <c r="F5" s="9">
        <v>18868471.179999996</v>
      </c>
      <c r="H5" s="4" t="s">
        <v>7</v>
      </c>
      <c r="I5" s="11">
        <v>21.625181339712906</v>
      </c>
    </row>
    <row r="6" spans="1:9" x14ac:dyDescent="0.3">
      <c r="A6" s="4" t="s">
        <v>10</v>
      </c>
      <c r="B6" s="9">
        <v>20439279.630000014</v>
      </c>
      <c r="D6" s="4" t="s">
        <v>10</v>
      </c>
      <c r="E6" s="8">
        <v>1641431.5799999996</v>
      </c>
      <c r="F6" s="9">
        <v>20439279.630000014</v>
      </c>
      <c r="H6" s="4" t="s">
        <v>10</v>
      </c>
      <c r="I6" s="11">
        <v>19.940945226130658</v>
      </c>
    </row>
    <row r="7" spans="1:9" x14ac:dyDescent="0.3">
      <c r="A7" s="4" t="s">
        <v>13</v>
      </c>
      <c r="B7" s="9">
        <v>20527096.739999991</v>
      </c>
      <c r="D7" s="4" t="s">
        <v>13</v>
      </c>
      <c r="E7" s="8">
        <v>1588436.6799999992</v>
      </c>
      <c r="F7" s="9">
        <v>20527096.739999991</v>
      </c>
      <c r="H7" s="4" t="s">
        <v>13</v>
      </c>
      <c r="I7" s="11">
        <v>21.034676262626263</v>
      </c>
    </row>
    <row r="8" spans="1:9" x14ac:dyDescent="0.3">
      <c r="A8" s="4" t="s">
        <v>5</v>
      </c>
      <c r="B8" s="9">
        <v>18668703.200000003</v>
      </c>
      <c r="D8" s="4" t="s">
        <v>5</v>
      </c>
      <c r="E8" s="8">
        <v>1589582.7000000004</v>
      </c>
      <c r="F8" s="9">
        <v>18668703.200000003</v>
      </c>
      <c r="H8" s="4" t="s">
        <v>5</v>
      </c>
      <c r="I8" s="11">
        <v>20.317988717948722</v>
      </c>
    </row>
    <row r="9" spans="1:9" x14ac:dyDescent="0.3">
      <c r="A9" s="4" t="s">
        <v>17</v>
      </c>
      <c r="B9" s="9">
        <v>96851827.640000001</v>
      </c>
      <c r="D9" s="4" t="s">
        <v>17</v>
      </c>
      <c r="E9" s="8">
        <v>8220256.2199999979</v>
      </c>
      <c r="F9" s="9">
        <v>96851827.640000001</v>
      </c>
      <c r="H9" s="4" t="s">
        <v>17</v>
      </c>
      <c r="I9" s="11">
        <v>20.619496099999989</v>
      </c>
    </row>
    <row r="11" spans="1:9" x14ac:dyDescent="0.3">
      <c r="A11" s="3" t="s">
        <v>1</v>
      </c>
      <c r="B11" t="s">
        <v>24</v>
      </c>
      <c r="C11" t="s">
        <v>20</v>
      </c>
      <c r="E11" s="3" t="s">
        <v>1</v>
      </c>
      <c r="F11" t="s">
        <v>25</v>
      </c>
      <c r="H11" s="3" t="s">
        <v>23</v>
      </c>
      <c r="I11" t="s">
        <v>28</v>
      </c>
    </row>
    <row r="12" spans="1:9" x14ac:dyDescent="0.3">
      <c r="A12" s="4" t="s">
        <v>12</v>
      </c>
      <c r="B12" s="6">
        <v>27125</v>
      </c>
      <c r="C12" s="6">
        <v>5336</v>
      </c>
      <c r="E12" s="4" t="s">
        <v>12</v>
      </c>
      <c r="F12" s="11">
        <v>15.242095477386933</v>
      </c>
      <c r="H12" s="4" t="s">
        <v>26</v>
      </c>
      <c r="I12" s="6">
        <v>62</v>
      </c>
    </row>
    <row r="13" spans="1:9" x14ac:dyDescent="0.3">
      <c r="A13" s="4" t="s">
        <v>7</v>
      </c>
      <c r="B13" s="6">
        <v>26142</v>
      </c>
      <c r="C13" s="6">
        <v>5635</v>
      </c>
      <c r="E13" s="4" t="s">
        <v>7</v>
      </c>
      <c r="F13" s="11">
        <v>16.781049282296646</v>
      </c>
      <c r="H13" s="4" t="s">
        <v>27</v>
      </c>
      <c r="I13" s="6">
        <v>938</v>
      </c>
    </row>
    <row r="14" spans="1:9" x14ac:dyDescent="0.3">
      <c r="A14" s="4" t="s">
        <v>10</v>
      </c>
      <c r="B14" s="6">
        <v>26912</v>
      </c>
      <c r="C14" s="6">
        <v>5488</v>
      </c>
      <c r="E14" s="4" t="s">
        <v>10</v>
      </c>
      <c r="F14" s="11">
        <v>19.049855276381916</v>
      </c>
      <c r="H14" s="4" t="s">
        <v>17</v>
      </c>
      <c r="I14" s="6">
        <v>1000</v>
      </c>
    </row>
    <row r="15" spans="1:9" x14ac:dyDescent="0.3">
      <c r="A15" s="4" t="s">
        <v>13</v>
      </c>
      <c r="B15" s="6">
        <v>27384</v>
      </c>
      <c r="C15" s="6">
        <v>5856</v>
      </c>
      <c r="E15" s="4" t="s">
        <v>13</v>
      </c>
      <c r="F15" s="11">
        <v>17.960254040404038</v>
      </c>
    </row>
    <row r="16" spans="1:9" x14ac:dyDescent="0.3">
      <c r="A16" s="4" t="s">
        <v>5</v>
      </c>
      <c r="B16" s="6">
        <v>27528</v>
      </c>
      <c r="C16" s="6">
        <v>5268</v>
      </c>
      <c r="E16" s="4" t="s">
        <v>5</v>
      </c>
      <c r="F16" s="11">
        <v>17.247122051282066</v>
      </c>
    </row>
    <row r="17" spans="1:6" x14ac:dyDescent="0.3">
      <c r="A17" s="4" t="s">
        <v>17</v>
      </c>
      <c r="B17" s="6">
        <v>135091</v>
      </c>
      <c r="C17" s="6">
        <v>27583</v>
      </c>
      <c r="E17" s="4" t="s">
        <v>17</v>
      </c>
      <c r="F17" s="11">
        <v>17.25065660000001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3F89-1371-4C4E-9B06-282F53BF36C3}">
  <dimension ref="O11"/>
  <sheetViews>
    <sheetView showGridLines="0" zoomScale="60" zoomScaleNormal="106" workbookViewId="0">
      <selection activeCell="Y29" sqref="Y29"/>
    </sheetView>
  </sheetViews>
  <sheetFormatPr defaultRowHeight="14.4" x14ac:dyDescent="0.3"/>
  <sheetData>
    <row r="11" spans="15:15" ht="18" x14ac:dyDescent="0.35">
      <c r="O11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C17" sqref="C17"/>
    </sheetView>
  </sheetViews>
  <sheetFormatPr defaultRowHeight="14.4" x14ac:dyDescent="0.3"/>
  <cols>
    <col min="1" max="2" width="15" customWidth="1"/>
    <col min="3" max="3" width="25" customWidth="1"/>
    <col min="4" max="4" width="17" customWidth="1"/>
    <col min="5" max="6" width="20" customWidth="1"/>
    <col min="7" max="7" width="16" customWidth="1"/>
    <col min="8" max="8" width="20.77734375" bestFit="1" customWidth="1"/>
    <col min="10" max="10" width="12.554687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  <c r="F1" s="1" t="s">
        <v>4</v>
      </c>
      <c r="G1" s="1" t="s">
        <v>16</v>
      </c>
      <c r="H1" s="10" t="s">
        <v>21</v>
      </c>
      <c r="I1" s="5" t="s">
        <v>22</v>
      </c>
      <c r="J1" s="5" t="s">
        <v>23</v>
      </c>
    </row>
    <row r="2" spans="1:10" x14ac:dyDescent="0.3">
      <c r="A2" s="2">
        <v>45995</v>
      </c>
      <c r="B2" t="s">
        <v>5</v>
      </c>
      <c r="C2" t="s">
        <v>6</v>
      </c>
      <c r="D2">
        <v>7360.05</v>
      </c>
      <c r="E2">
        <v>165</v>
      </c>
      <c r="F2">
        <v>43</v>
      </c>
      <c r="G2">
        <v>167838.75</v>
      </c>
      <c r="H2" s="7">
        <f t="shared" ref="H2:H65" si="0">ROUND((F2/E2)*100,4)</f>
        <v>26.060600000000001</v>
      </c>
      <c r="I2">
        <f t="shared" ref="I2:I65" si="1">ROUND(((G2-D2)/D2),4)</f>
        <v>21.803999999999998</v>
      </c>
      <c r="J2" t="str">
        <f>IF(I2&gt;0,"Positive","Negative")</f>
        <v>Positive</v>
      </c>
    </row>
    <row r="3" spans="1:10" x14ac:dyDescent="0.3">
      <c r="A3" s="2">
        <v>45799</v>
      </c>
      <c r="B3" t="s">
        <v>7</v>
      </c>
      <c r="C3" t="s">
        <v>8</v>
      </c>
      <c r="D3">
        <v>7368.04</v>
      </c>
      <c r="E3">
        <v>209</v>
      </c>
      <c r="F3">
        <v>15</v>
      </c>
      <c r="G3">
        <v>62582.54</v>
      </c>
      <c r="H3" s="7">
        <f t="shared" si="0"/>
        <v>7.1769999999999996</v>
      </c>
      <c r="I3">
        <f t="shared" si="1"/>
        <v>7.4938000000000002</v>
      </c>
      <c r="J3" t="str">
        <f t="shared" ref="J3:J66" si="2">IF(I3&gt;0,"Positive","Negative")</f>
        <v>Positive</v>
      </c>
    </row>
    <row r="4" spans="1:10" x14ac:dyDescent="0.3">
      <c r="A4" s="2">
        <v>45893</v>
      </c>
      <c r="B4" t="s">
        <v>7</v>
      </c>
      <c r="C4" t="s">
        <v>9</v>
      </c>
      <c r="D4">
        <v>7235.8</v>
      </c>
      <c r="E4">
        <v>119</v>
      </c>
      <c r="F4">
        <v>3</v>
      </c>
      <c r="G4">
        <v>4509.8599999999997</v>
      </c>
      <c r="H4" s="7">
        <f t="shared" si="0"/>
        <v>2.5209999999999999</v>
      </c>
      <c r="I4">
        <f t="shared" si="1"/>
        <v>-0.37669999999999998</v>
      </c>
      <c r="J4" t="str">
        <f t="shared" si="2"/>
        <v>Negative</v>
      </c>
    </row>
    <row r="5" spans="1:10" x14ac:dyDescent="0.3">
      <c r="A5" s="2">
        <v>45795</v>
      </c>
      <c r="B5" t="s">
        <v>10</v>
      </c>
      <c r="C5" t="s">
        <v>11</v>
      </c>
      <c r="D5">
        <v>12798.4</v>
      </c>
      <c r="E5">
        <v>57</v>
      </c>
      <c r="F5">
        <v>4</v>
      </c>
      <c r="G5">
        <v>17070.38</v>
      </c>
      <c r="H5" s="7">
        <f t="shared" si="0"/>
        <v>7.0175000000000001</v>
      </c>
      <c r="I5">
        <f t="shared" si="1"/>
        <v>0.33379999999999999</v>
      </c>
      <c r="J5" t="str">
        <f t="shared" si="2"/>
        <v>Positive</v>
      </c>
    </row>
    <row r="6" spans="1:10" x14ac:dyDescent="0.3">
      <c r="A6" s="2">
        <v>45799</v>
      </c>
      <c r="B6" t="s">
        <v>5</v>
      </c>
      <c r="C6" t="s">
        <v>6</v>
      </c>
      <c r="D6">
        <v>4915.18</v>
      </c>
      <c r="E6">
        <v>147</v>
      </c>
      <c r="F6">
        <v>45</v>
      </c>
      <c r="G6">
        <v>189352.53</v>
      </c>
      <c r="H6" s="7">
        <f t="shared" si="0"/>
        <v>30.612200000000001</v>
      </c>
      <c r="I6">
        <f t="shared" si="1"/>
        <v>37.524000000000001</v>
      </c>
      <c r="J6" t="str">
        <f t="shared" si="2"/>
        <v>Positive</v>
      </c>
    </row>
    <row r="7" spans="1:10" x14ac:dyDescent="0.3">
      <c r="A7" s="2">
        <v>45820</v>
      </c>
      <c r="B7" t="s">
        <v>10</v>
      </c>
      <c r="C7" t="s">
        <v>9</v>
      </c>
      <c r="D7">
        <v>8538.7800000000007</v>
      </c>
      <c r="E7">
        <v>130</v>
      </c>
      <c r="F7">
        <v>22</v>
      </c>
      <c r="G7">
        <v>23113.9</v>
      </c>
      <c r="H7" s="7">
        <f t="shared" si="0"/>
        <v>16.923100000000002</v>
      </c>
      <c r="I7">
        <f t="shared" si="1"/>
        <v>1.7069000000000001</v>
      </c>
      <c r="J7" t="str">
        <f t="shared" si="2"/>
        <v>Positive</v>
      </c>
    </row>
    <row r="8" spans="1:10" x14ac:dyDescent="0.3">
      <c r="A8" s="2">
        <v>45903</v>
      </c>
      <c r="B8" t="s">
        <v>10</v>
      </c>
      <c r="C8" t="s">
        <v>6</v>
      </c>
      <c r="D8">
        <v>9245.33</v>
      </c>
      <c r="E8">
        <v>210</v>
      </c>
      <c r="F8">
        <v>4</v>
      </c>
      <c r="G8">
        <v>8592.58</v>
      </c>
      <c r="H8" s="7">
        <f t="shared" si="0"/>
        <v>1.9048</v>
      </c>
      <c r="I8">
        <f t="shared" si="1"/>
        <v>-7.0599999999999996E-2</v>
      </c>
      <c r="J8" t="str">
        <f t="shared" si="2"/>
        <v>Negative</v>
      </c>
    </row>
    <row r="9" spans="1:10" x14ac:dyDescent="0.3">
      <c r="A9" s="2">
        <v>46013</v>
      </c>
      <c r="B9" t="s">
        <v>12</v>
      </c>
      <c r="C9" t="s">
        <v>9</v>
      </c>
      <c r="D9">
        <v>10679.92</v>
      </c>
      <c r="E9">
        <v>83</v>
      </c>
      <c r="F9">
        <v>6</v>
      </c>
      <c r="G9">
        <v>18958.7</v>
      </c>
      <c r="H9" s="7">
        <f t="shared" si="0"/>
        <v>7.2289000000000003</v>
      </c>
      <c r="I9">
        <f t="shared" si="1"/>
        <v>0.7752</v>
      </c>
      <c r="J9" t="str">
        <f t="shared" si="2"/>
        <v>Positive</v>
      </c>
    </row>
    <row r="10" spans="1:10" x14ac:dyDescent="0.3">
      <c r="A10" s="2">
        <v>45726</v>
      </c>
      <c r="B10" t="s">
        <v>12</v>
      </c>
      <c r="C10" t="s">
        <v>9</v>
      </c>
      <c r="D10">
        <v>4814.6000000000004</v>
      </c>
      <c r="E10">
        <v>154</v>
      </c>
      <c r="F10">
        <v>14</v>
      </c>
      <c r="G10">
        <v>33526.81</v>
      </c>
      <c r="H10" s="7">
        <f t="shared" si="0"/>
        <v>9.0908999999999995</v>
      </c>
      <c r="I10">
        <f t="shared" si="1"/>
        <v>5.9635999999999996</v>
      </c>
      <c r="J10" t="str">
        <f t="shared" si="2"/>
        <v>Positive</v>
      </c>
    </row>
    <row r="11" spans="1:10" x14ac:dyDescent="0.3">
      <c r="A11" s="2">
        <v>45837</v>
      </c>
      <c r="B11" t="s">
        <v>7</v>
      </c>
      <c r="C11" t="s">
        <v>8</v>
      </c>
      <c r="D11">
        <v>3918.93</v>
      </c>
      <c r="E11">
        <v>199</v>
      </c>
      <c r="F11">
        <v>74</v>
      </c>
      <c r="G11">
        <v>198353.93</v>
      </c>
      <c r="H11" s="7">
        <f t="shared" si="0"/>
        <v>37.185899999999997</v>
      </c>
      <c r="I11">
        <f t="shared" si="1"/>
        <v>49.6143</v>
      </c>
      <c r="J11" t="str">
        <f t="shared" si="2"/>
        <v>Positive</v>
      </c>
    </row>
    <row r="12" spans="1:10" x14ac:dyDescent="0.3">
      <c r="A12" s="2">
        <v>46004</v>
      </c>
      <c r="B12" t="s">
        <v>13</v>
      </c>
      <c r="C12" t="s">
        <v>6</v>
      </c>
      <c r="D12">
        <v>8874.23</v>
      </c>
      <c r="E12">
        <v>88</v>
      </c>
      <c r="F12">
        <v>24</v>
      </c>
      <c r="G12">
        <v>35160.620000000003</v>
      </c>
      <c r="H12" s="7">
        <f t="shared" si="0"/>
        <v>27.2727</v>
      </c>
      <c r="I12">
        <f t="shared" si="1"/>
        <v>2.9621</v>
      </c>
      <c r="J12" t="str">
        <f t="shared" si="2"/>
        <v>Positive</v>
      </c>
    </row>
    <row r="13" spans="1:10" x14ac:dyDescent="0.3">
      <c r="A13" s="2">
        <v>45894</v>
      </c>
      <c r="B13" t="s">
        <v>10</v>
      </c>
      <c r="C13" t="s">
        <v>9</v>
      </c>
      <c r="D13">
        <v>14140.08</v>
      </c>
      <c r="E13">
        <v>26</v>
      </c>
      <c r="F13">
        <v>2</v>
      </c>
      <c r="G13">
        <v>4448.71</v>
      </c>
      <c r="H13" s="7">
        <f t="shared" si="0"/>
        <v>7.6923000000000004</v>
      </c>
      <c r="I13">
        <f t="shared" si="1"/>
        <v>-0.68540000000000001</v>
      </c>
      <c r="J13" t="str">
        <f t="shared" si="2"/>
        <v>Negative</v>
      </c>
    </row>
    <row r="14" spans="1:10" x14ac:dyDescent="0.3">
      <c r="A14" s="2">
        <v>45932</v>
      </c>
      <c r="B14" t="s">
        <v>13</v>
      </c>
      <c r="C14" t="s">
        <v>11</v>
      </c>
      <c r="D14">
        <v>1437.55</v>
      </c>
      <c r="E14">
        <v>199</v>
      </c>
      <c r="F14">
        <v>74</v>
      </c>
      <c r="G14">
        <v>204297.89</v>
      </c>
      <c r="H14" s="7">
        <f t="shared" si="0"/>
        <v>37.185899999999997</v>
      </c>
      <c r="I14">
        <f t="shared" si="1"/>
        <v>141.11529999999999</v>
      </c>
      <c r="J14" t="str">
        <f t="shared" si="2"/>
        <v>Positive</v>
      </c>
    </row>
    <row r="15" spans="1:10" x14ac:dyDescent="0.3">
      <c r="A15" s="2">
        <v>45967</v>
      </c>
      <c r="B15" t="s">
        <v>7</v>
      </c>
      <c r="C15" t="s">
        <v>6</v>
      </c>
      <c r="D15">
        <v>13075.87</v>
      </c>
      <c r="E15">
        <v>218</v>
      </c>
      <c r="F15">
        <v>25</v>
      </c>
      <c r="G15">
        <v>115009.98</v>
      </c>
      <c r="H15" s="7">
        <f t="shared" si="0"/>
        <v>11.4679</v>
      </c>
      <c r="I15">
        <f t="shared" si="1"/>
        <v>7.7956000000000003</v>
      </c>
      <c r="J15" t="str">
        <f t="shared" si="2"/>
        <v>Positive</v>
      </c>
    </row>
    <row r="16" spans="1:10" x14ac:dyDescent="0.3">
      <c r="A16" s="2">
        <v>45883</v>
      </c>
      <c r="B16" t="s">
        <v>12</v>
      </c>
      <c r="C16" t="s">
        <v>8</v>
      </c>
      <c r="D16">
        <v>10604.99</v>
      </c>
      <c r="E16">
        <v>90</v>
      </c>
      <c r="F16">
        <v>24</v>
      </c>
      <c r="G16">
        <v>125649.56</v>
      </c>
      <c r="H16" s="7">
        <f t="shared" si="0"/>
        <v>26.666699999999999</v>
      </c>
      <c r="I16">
        <f t="shared" si="1"/>
        <v>10.8482</v>
      </c>
      <c r="J16" t="str">
        <f t="shared" si="2"/>
        <v>Positive</v>
      </c>
    </row>
    <row r="17" spans="1:10" x14ac:dyDescent="0.3">
      <c r="A17" s="2">
        <v>45713</v>
      </c>
      <c r="B17" t="s">
        <v>12</v>
      </c>
      <c r="C17" t="s">
        <v>30</v>
      </c>
      <c r="D17">
        <v>4789.6099999999997</v>
      </c>
      <c r="E17">
        <v>97</v>
      </c>
      <c r="F17">
        <v>28</v>
      </c>
      <c r="G17">
        <v>37840.11</v>
      </c>
      <c r="H17" s="7">
        <f t="shared" si="0"/>
        <v>28.866</v>
      </c>
      <c r="I17">
        <f t="shared" si="1"/>
        <v>6.9005000000000001</v>
      </c>
      <c r="J17" t="str">
        <f t="shared" si="2"/>
        <v>Positive</v>
      </c>
    </row>
    <row r="18" spans="1:10" x14ac:dyDescent="0.3">
      <c r="A18" s="2">
        <v>45928</v>
      </c>
      <c r="B18" t="s">
        <v>13</v>
      </c>
      <c r="C18" t="s">
        <v>9</v>
      </c>
      <c r="D18">
        <v>3225.55</v>
      </c>
      <c r="E18">
        <v>64</v>
      </c>
      <c r="F18">
        <v>19</v>
      </c>
      <c r="G18">
        <v>23750.3</v>
      </c>
      <c r="H18" s="7">
        <f t="shared" si="0"/>
        <v>29.6875</v>
      </c>
      <c r="I18">
        <f t="shared" si="1"/>
        <v>6.3632</v>
      </c>
      <c r="J18" t="str">
        <f t="shared" si="2"/>
        <v>Positive</v>
      </c>
    </row>
    <row r="19" spans="1:10" x14ac:dyDescent="0.3">
      <c r="A19" s="2">
        <v>45690</v>
      </c>
      <c r="B19" t="s">
        <v>5</v>
      </c>
      <c r="C19" t="s">
        <v>6</v>
      </c>
      <c r="D19">
        <v>2862.7</v>
      </c>
      <c r="E19">
        <v>213</v>
      </c>
      <c r="F19">
        <v>55</v>
      </c>
      <c r="G19">
        <v>64536.9</v>
      </c>
      <c r="H19" s="7">
        <f t="shared" si="0"/>
        <v>25.8216</v>
      </c>
      <c r="I19">
        <f t="shared" si="1"/>
        <v>21.5441</v>
      </c>
      <c r="J19" t="str">
        <f t="shared" si="2"/>
        <v>Positive</v>
      </c>
    </row>
    <row r="20" spans="1:10" x14ac:dyDescent="0.3">
      <c r="A20" s="2">
        <v>45799</v>
      </c>
      <c r="B20" t="s">
        <v>12</v>
      </c>
      <c r="C20" t="s">
        <v>11</v>
      </c>
      <c r="D20">
        <v>10358.5</v>
      </c>
      <c r="E20">
        <v>241</v>
      </c>
      <c r="F20">
        <v>68</v>
      </c>
      <c r="G20">
        <v>179095.34</v>
      </c>
      <c r="H20" s="7">
        <f t="shared" si="0"/>
        <v>28.215800000000002</v>
      </c>
      <c r="I20">
        <f t="shared" si="1"/>
        <v>16.2897</v>
      </c>
      <c r="J20" t="str">
        <f t="shared" si="2"/>
        <v>Positive</v>
      </c>
    </row>
    <row r="21" spans="1:10" x14ac:dyDescent="0.3">
      <c r="A21" s="2">
        <v>45687</v>
      </c>
      <c r="B21" t="s">
        <v>5</v>
      </c>
      <c r="C21" t="s">
        <v>14</v>
      </c>
      <c r="D21">
        <v>11353.79</v>
      </c>
      <c r="E21">
        <v>48</v>
      </c>
      <c r="F21">
        <v>19</v>
      </c>
      <c r="G21">
        <v>105615.47</v>
      </c>
      <c r="H21" s="7">
        <f t="shared" si="0"/>
        <v>39.583300000000001</v>
      </c>
      <c r="I21">
        <f t="shared" si="1"/>
        <v>8.3021999999999991</v>
      </c>
      <c r="J21" t="str">
        <f t="shared" si="2"/>
        <v>Positive</v>
      </c>
    </row>
    <row r="22" spans="1:10" x14ac:dyDescent="0.3">
      <c r="A22" s="2">
        <v>45761</v>
      </c>
      <c r="B22" t="s">
        <v>5</v>
      </c>
      <c r="C22" t="s">
        <v>14</v>
      </c>
      <c r="D22">
        <v>12224.2</v>
      </c>
      <c r="E22">
        <v>171</v>
      </c>
      <c r="F22">
        <v>3</v>
      </c>
      <c r="G22">
        <v>5714.86</v>
      </c>
      <c r="H22" s="7">
        <f t="shared" si="0"/>
        <v>1.7544</v>
      </c>
      <c r="I22">
        <f t="shared" si="1"/>
        <v>-0.53249999999999997</v>
      </c>
      <c r="J22" t="str">
        <f t="shared" si="2"/>
        <v>Negative</v>
      </c>
    </row>
    <row r="23" spans="1:10" x14ac:dyDescent="0.3">
      <c r="A23" s="2">
        <v>45817</v>
      </c>
      <c r="B23" t="s">
        <v>7</v>
      </c>
      <c r="C23" t="s">
        <v>14</v>
      </c>
      <c r="D23">
        <v>4893.91</v>
      </c>
      <c r="E23">
        <v>220</v>
      </c>
      <c r="F23">
        <v>21</v>
      </c>
      <c r="G23">
        <v>86663.19</v>
      </c>
      <c r="H23" s="7">
        <f t="shared" si="0"/>
        <v>9.5455000000000005</v>
      </c>
      <c r="I23">
        <f t="shared" si="1"/>
        <v>16.708400000000001</v>
      </c>
      <c r="J23" t="str">
        <f t="shared" si="2"/>
        <v>Positive</v>
      </c>
    </row>
    <row r="24" spans="1:10" x14ac:dyDescent="0.3">
      <c r="A24" s="2">
        <v>45864</v>
      </c>
      <c r="B24" t="s">
        <v>12</v>
      </c>
      <c r="C24" t="s">
        <v>14</v>
      </c>
      <c r="D24">
        <v>14271.89</v>
      </c>
      <c r="E24">
        <v>202</v>
      </c>
      <c r="F24">
        <v>12</v>
      </c>
      <c r="G24">
        <v>41944.95</v>
      </c>
      <c r="H24" s="7">
        <f t="shared" si="0"/>
        <v>5.9405999999999999</v>
      </c>
      <c r="I24">
        <f t="shared" si="1"/>
        <v>1.9390000000000001</v>
      </c>
      <c r="J24" t="str">
        <f t="shared" si="2"/>
        <v>Positive</v>
      </c>
    </row>
    <row r="25" spans="1:10" x14ac:dyDescent="0.3">
      <c r="A25" s="2">
        <v>45822</v>
      </c>
      <c r="B25" t="s">
        <v>12</v>
      </c>
      <c r="C25" t="s">
        <v>6</v>
      </c>
      <c r="D25">
        <v>6648.73</v>
      </c>
      <c r="E25">
        <v>211</v>
      </c>
      <c r="F25">
        <v>66</v>
      </c>
      <c r="G25">
        <v>244089.28</v>
      </c>
      <c r="H25" s="7">
        <f t="shared" si="0"/>
        <v>31.279599999999999</v>
      </c>
      <c r="I25">
        <f t="shared" si="1"/>
        <v>35.712200000000003</v>
      </c>
      <c r="J25" t="str">
        <f t="shared" si="2"/>
        <v>Positive</v>
      </c>
    </row>
    <row r="26" spans="1:10" x14ac:dyDescent="0.3">
      <c r="A26" s="2">
        <v>45837</v>
      </c>
      <c r="B26" t="s">
        <v>5</v>
      </c>
      <c r="C26" t="s">
        <v>11</v>
      </c>
      <c r="D26">
        <v>10652.75</v>
      </c>
      <c r="E26">
        <v>208</v>
      </c>
      <c r="F26">
        <v>45</v>
      </c>
      <c r="G26">
        <v>238518.05</v>
      </c>
      <c r="H26" s="7">
        <f t="shared" si="0"/>
        <v>21.634599999999999</v>
      </c>
      <c r="I26">
        <f t="shared" si="1"/>
        <v>21.3903</v>
      </c>
      <c r="J26" t="str">
        <f t="shared" si="2"/>
        <v>Positive</v>
      </c>
    </row>
    <row r="27" spans="1:10" x14ac:dyDescent="0.3">
      <c r="A27" s="2">
        <v>45823</v>
      </c>
      <c r="B27" t="s">
        <v>5</v>
      </c>
      <c r="C27" t="s">
        <v>11</v>
      </c>
      <c r="D27">
        <v>12257.16</v>
      </c>
      <c r="E27">
        <v>241</v>
      </c>
      <c r="F27">
        <v>89</v>
      </c>
      <c r="G27">
        <v>367325.59</v>
      </c>
      <c r="H27" s="7">
        <f t="shared" si="0"/>
        <v>36.929499999999997</v>
      </c>
      <c r="I27">
        <f t="shared" si="1"/>
        <v>28.9682</v>
      </c>
      <c r="J27" t="str">
        <f t="shared" si="2"/>
        <v>Positive</v>
      </c>
    </row>
    <row r="28" spans="1:10" x14ac:dyDescent="0.3">
      <c r="A28" s="2">
        <v>46022</v>
      </c>
      <c r="B28" t="s">
        <v>12</v>
      </c>
      <c r="C28" t="s">
        <v>6</v>
      </c>
      <c r="D28">
        <v>8467.65</v>
      </c>
      <c r="E28">
        <v>147</v>
      </c>
      <c r="F28">
        <v>50</v>
      </c>
      <c r="G28">
        <v>152261.74</v>
      </c>
      <c r="H28" s="7">
        <f t="shared" si="0"/>
        <v>34.013599999999997</v>
      </c>
      <c r="I28">
        <f t="shared" si="1"/>
        <v>16.9816</v>
      </c>
      <c r="J28" t="str">
        <f t="shared" si="2"/>
        <v>Positive</v>
      </c>
    </row>
    <row r="29" spans="1:10" x14ac:dyDescent="0.3">
      <c r="A29" s="2">
        <v>45712</v>
      </c>
      <c r="B29" t="s">
        <v>13</v>
      </c>
      <c r="C29" t="s">
        <v>11</v>
      </c>
      <c r="D29">
        <v>14171.39</v>
      </c>
      <c r="E29">
        <v>26</v>
      </c>
      <c r="F29">
        <v>1</v>
      </c>
      <c r="G29">
        <v>5063.58</v>
      </c>
      <c r="H29" s="7">
        <f t="shared" si="0"/>
        <v>3.8462000000000001</v>
      </c>
      <c r="I29">
        <f t="shared" si="1"/>
        <v>-0.64270000000000005</v>
      </c>
      <c r="J29" t="str">
        <f t="shared" si="2"/>
        <v>Negative</v>
      </c>
    </row>
    <row r="30" spans="1:10" x14ac:dyDescent="0.3">
      <c r="A30" s="2">
        <v>45728</v>
      </c>
      <c r="B30" t="s">
        <v>13</v>
      </c>
      <c r="C30" t="s">
        <v>6</v>
      </c>
      <c r="D30">
        <v>12234.5</v>
      </c>
      <c r="E30">
        <v>71</v>
      </c>
      <c r="F30">
        <v>23</v>
      </c>
      <c r="G30">
        <v>55648.68</v>
      </c>
      <c r="H30" s="7">
        <f t="shared" si="0"/>
        <v>32.394399999999997</v>
      </c>
      <c r="I30">
        <f t="shared" si="1"/>
        <v>3.5485000000000002</v>
      </c>
      <c r="J30" t="str">
        <f t="shared" si="2"/>
        <v>Positive</v>
      </c>
    </row>
    <row r="31" spans="1:10" x14ac:dyDescent="0.3">
      <c r="A31" s="2">
        <v>45947</v>
      </c>
      <c r="B31" t="s">
        <v>7</v>
      </c>
      <c r="C31" t="s">
        <v>14</v>
      </c>
      <c r="D31">
        <v>14720.39</v>
      </c>
      <c r="E31">
        <v>59</v>
      </c>
      <c r="F31">
        <v>23</v>
      </c>
      <c r="G31">
        <v>29371.55</v>
      </c>
      <c r="H31" s="7">
        <f t="shared" si="0"/>
        <v>38.9831</v>
      </c>
      <c r="I31">
        <f t="shared" si="1"/>
        <v>0.99529999999999996</v>
      </c>
      <c r="J31" t="str">
        <f t="shared" si="2"/>
        <v>Positive</v>
      </c>
    </row>
    <row r="32" spans="1:10" x14ac:dyDescent="0.3">
      <c r="A32" s="2">
        <v>45822</v>
      </c>
      <c r="B32" t="s">
        <v>7</v>
      </c>
      <c r="C32" t="s">
        <v>14</v>
      </c>
      <c r="D32">
        <v>3300.33</v>
      </c>
      <c r="E32">
        <v>105</v>
      </c>
      <c r="F32">
        <v>34</v>
      </c>
      <c r="G32">
        <v>174264.11</v>
      </c>
      <c r="H32" s="7">
        <f t="shared" si="0"/>
        <v>32.381</v>
      </c>
      <c r="I32">
        <f t="shared" si="1"/>
        <v>51.802</v>
      </c>
      <c r="J32" t="str">
        <f t="shared" si="2"/>
        <v>Positive</v>
      </c>
    </row>
    <row r="33" spans="1:10" x14ac:dyDescent="0.3">
      <c r="A33" s="2">
        <v>45788</v>
      </c>
      <c r="B33" t="s">
        <v>12</v>
      </c>
      <c r="C33" t="s">
        <v>11</v>
      </c>
      <c r="D33">
        <v>4418.6899999999996</v>
      </c>
      <c r="E33">
        <v>181</v>
      </c>
      <c r="F33">
        <v>14</v>
      </c>
      <c r="G33">
        <v>50595.69</v>
      </c>
      <c r="H33" s="7">
        <f t="shared" si="0"/>
        <v>7.7347999999999999</v>
      </c>
      <c r="I33">
        <f t="shared" si="1"/>
        <v>10.4504</v>
      </c>
      <c r="J33" t="str">
        <f t="shared" si="2"/>
        <v>Positive</v>
      </c>
    </row>
    <row r="34" spans="1:10" x14ac:dyDescent="0.3">
      <c r="A34" s="2">
        <v>45973</v>
      </c>
      <c r="B34" t="s">
        <v>12</v>
      </c>
      <c r="C34" t="s">
        <v>8</v>
      </c>
      <c r="D34">
        <v>11541.73</v>
      </c>
      <c r="E34">
        <v>51</v>
      </c>
      <c r="F34">
        <v>7</v>
      </c>
      <c r="G34">
        <v>37682.129999999997</v>
      </c>
      <c r="H34" s="7">
        <f t="shared" si="0"/>
        <v>13.7255</v>
      </c>
      <c r="I34">
        <f t="shared" si="1"/>
        <v>2.2648999999999999</v>
      </c>
      <c r="J34" t="str">
        <f t="shared" si="2"/>
        <v>Positive</v>
      </c>
    </row>
    <row r="35" spans="1:10" x14ac:dyDescent="0.3">
      <c r="A35" s="2">
        <v>45773</v>
      </c>
      <c r="B35" t="s">
        <v>12</v>
      </c>
      <c r="C35" t="s">
        <v>14</v>
      </c>
      <c r="D35">
        <v>9609.27</v>
      </c>
      <c r="E35">
        <v>146</v>
      </c>
      <c r="F35">
        <v>44</v>
      </c>
      <c r="G35">
        <v>106555.29</v>
      </c>
      <c r="H35" s="7">
        <f t="shared" si="0"/>
        <v>30.137</v>
      </c>
      <c r="I35">
        <f t="shared" si="1"/>
        <v>10.088800000000001</v>
      </c>
      <c r="J35" t="str">
        <f t="shared" si="2"/>
        <v>Positive</v>
      </c>
    </row>
    <row r="36" spans="1:10" x14ac:dyDescent="0.3">
      <c r="A36" s="2">
        <v>45763</v>
      </c>
      <c r="B36" t="s">
        <v>10</v>
      </c>
      <c r="C36" t="s">
        <v>14</v>
      </c>
      <c r="D36">
        <v>6140.26</v>
      </c>
      <c r="E36">
        <v>246</v>
      </c>
      <c r="F36">
        <v>77</v>
      </c>
      <c r="G36">
        <v>417474.84</v>
      </c>
      <c r="H36" s="7">
        <f t="shared" si="0"/>
        <v>31.300799999999999</v>
      </c>
      <c r="I36">
        <f t="shared" si="1"/>
        <v>66.989800000000002</v>
      </c>
      <c r="J36" t="str">
        <f t="shared" si="2"/>
        <v>Positive</v>
      </c>
    </row>
    <row r="37" spans="1:10" x14ac:dyDescent="0.3">
      <c r="A37" s="2">
        <v>45687</v>
      </c>
      <c r="B37" t="s">
        <v>13</v>
      </c>
      <c r="C37" t="s">
        <v>9</v>
      </c>
      <c r="D37">
        <v>4475.26</v>
      </c>
      <c r="E37">
        <v>41</v>
      </c>
      <c r="F37">
        <v>13</v>
      </c>
      <c r="G37">
        <v>41486.83</v>
      </c>
      <c r="H37" s="7">
        <f t="shared" si="0"/>
        <v>31.7073</v>
      </c>
      <c r="I37">
        <f t="shared" si="1"/>
        <v>8.2703000000000007</v>
      </c>
      <c r="J37" t="str">
        <f t="shared" si="2"/>
        <v>Positive</v>
      </c>
    </row>
    <row r="38" spans="1:10" x14ac:dyDescent="0.3">
      <c r="A38" s="2">
        <v>45976</v>
      </c>
      <c r="B38" t="s">
        <v>5</v>
      </c>
      <c r="C38" t="s">
        <v>6</v>
      </c>
      <c r="D38">
        <v>4092.57</v>
      </c>
      <c r="E38">
        <v>45</v>
      </c>
      <c r="F38">
        <v>10</v>
      </c>
      <c r="G38">
        <v>32629.9</v>
      </c>
      <c r="H38" s="7">
        <f t="shared" si="0"/>
        <v>22.222200000000001</v>
      </c>
      <c r="I38">
        <f t="shared" si="1"/>
        <v>6.9729999999999999</v>
      </c>
      <c r="J38" t="str">
        <f t="shared" si="2"/>
        <v>Positive</v>
      </c>
    </row>
    <row r="39" spans="1:10" x14ac:dyDescent="0.3">
      <c r="A39" s="2">
        <v>45683</v>
      </c>
      <c r="B39" t="s">
        <v>7</v>
      </c>
      <c r="C39" t="s">
        <v>9</v>
      </c>
      <c r="D39">
        <v>14980.87</v>
      </c>
      <c r="E39">
        <v>43</v>
      </c>
      <c r="F39">
        <v>17</v>
      </c>
      <c r="G39">
        <v>101553.33</v>
      </c>
      <c r="H39" s="7">
        <f t="shared" si="0"/>
        <v>39.5349</v>
      </c>
      <c r="I39">
        <f t="shared" si="1"/>
        <v>5.7789000000000001</v>
      </c>
      <c r="J39" t="str">
        <f t="shared" si="2"/>
        <v>Positive</v>
      </c>
    </row>
    <row r="40" spans="1:10" x14ac:dyDescent="0.3">
      <c r="A40" s="2">
        <v>45800</v>
      </c>
      <c r="B40" t="s">
        <v>12</v>
      </c>
      <c r="C40" t="s">
        <v>6</v>
      </c>
      <c r="D40">
        <v>2106.83</v>
      </c>
      <c r="E40">
        <v>129</v>
      </c>
      <c r="F40">
        <v>48</v>
      </c>
      <c r="G40">
        <v>64420.18</v>
      </c>
      <c r="H40" s="7">
        <f t="shared" si="0"/>
        <v>37.209299999999999</v>
      </c>
      <c r="I40">
        <f t="shared" si="1"/>
        <v>29.576799999999999</v>
      </c>
      <c r="J40" t="str">
        <f t="shared" si="2"/>
        <v>Positive</v>
      </c>
    </row>
    <row r="41" spans="1:10" x14ac:dyDescent="0.3">
      <c r="A41" s="2">
        <v>45935</v>
      </c>
      <c r="B41" t="s">
        <v>7</v>
      </c>
      <c r="C41" t="s">
        <v>14</v>
      </c>
      <c r="D41">
        <v>4759.95</v>
      </c>
      <c r="E41">
        <v>249</v>
      </c>
      <c r="F41">
        <v>64</v>
      </c>
      <c r="G41">
        <v>318959.92</v>
      </c>
      <c r="H41" s="7">
        <f t="shared" si="0"/>
        <v>25.7028</v>
      </c>
      <c r="I41">
        <f t="shared" si="1"/>
        <v>66.009100000000004</v>
      </c>
      <c r="J41" t="str">
        <f t="shared" si="2"/>
        <v>Positive</v>
      </c>
    </row>
    <row r="42" spans="1:10" x14ac:dyDescent="0.3">
      <c r="A42" s="2">
        <v>45755</v>
      </c>
      <c r="B42" t="s">
        <v>13</v>
      </c>
      <c r="C42" t="s">
        <v>14</v>
      </c>
      <c r="D42">
        <v>5731.59</v>
      </c>
      <c r="E42">
        <v>235</v>
      </c>
      <c r="F42">
        <v>35</v>
      </c>
      <c r="G42">
        <v>103014.54</v>
      </c>
      <c r="H42" s="7">
        <f t="shared" si="0"/>
        <v>14.893599999999999</v>
      </c>
      <c r="I42">
        <f t="shared" si="1"/>
        <v>16.973099999999999</v>
      </c>
      <c r="J42" t="str">
        <f t="shared" si="2"/>
        <v>Positive</v>
      </c>
    </row>
    <row r="43" spans="1:10" x14ac:dyDescent="0.3">
      <c r="A43" s="2">
        <v>46000</v>
      </c>
      <c r="B43" t="s">
        <v>5</v>
      </c>
      <c r="C43" t="s">
        <v>6</v>
      </c>
      <c r="D43">
        <v>2989.28</v>
      </c>
      <c r="E43">
        <v>137</v>
      </c>
      <c r="F43">
        <v>54</v>
      </c>
      <c r="G43">
        <v>126960.71</v>
      </c>
      <c r="H43" s="7">
        <f t="shared" si="0"/>
        <v>39.4161</v>
      </c>
      <c r="I43">
        <f t="shared" si="1"/>
        <v>41.472000000000001</v>
      </c>
      <c r="J43" t="str">
        <f t="shared" si="2"/>
        <v>Positive</v>
      </c>
    </row>
    <row r="44" spans="1:10" x14ac:dyDescent="0.3">
      <c r="A44" s="2">
        <v>45781</v>
      </c>
      <c r="B44" t="s">
        <v>10</v>
      </c>
      <c r="C44" t="s">
        <v>9</v>
      </c>
      <c r="D44">
        <v>12467.05</v>
      </c>
      <c r="E44">
        <v>115</v>
      </c>
      <c r="F44">
        <v>18</v>
      </c>
      <c r="G44">
        <v>32365.78</v>
      </c>
      <c r="H44" s="7">
        <f t="shared" si="0"/>
        <v>15.652200000000001</v>
      </c>
      <c r="I44">
        <f t="shared" si="1"/>
        <v>1.5961000000000001</v>
      </c>
      <c r="J44" t="str">
        <f t="shared" si="2"/>
        <v>Positive</v>
      </c>
    </row>
    <row r="45" spans="1:10" x14ac:dyDescent="0.3">
      <c r="A45" s="2">
        <v>45793</v>
      </c>
      <c r="B45" t="s">
        <v>5</v>
      </c>
      <c r="C45" t="s">
        <v>11</v>
      </c>
      <c r="D45">
        <v>12785.27</v>
      </c>
      <c r="E45">
        <v>167</v>
      </c>
      <c r="F45">
        <v>56</v>
      </c>
      <c r="G45">
        <v>281940.27</v>
      </c>
      <c r="H45" s="7">
        <f t="shared" si="0"/>
        <v>33.532899999999998</v>
      </c>
      <c r="I45">
        <f t="shared" si="1"/>
        <v>21.052</v>
      </c>
      <c r="J45" t="str">
        <f t="shared" si="2"/>
        <v>Positive</v>
      </c>
    </row>
    <row r="46" spans="1:10" x14ac:dyDescent="0.3">
      <c r="A46" s="2">
        <v>45693</v>
      </c>
      <c r="B46" t="s">
        <v>7</v>
      </c>
      <c r="C46" t="s">
        <v>9</v>
      </c>
      <c r="D46">
        <v>3805.91</v>
      </c>
      <c r="E46">
        <v>154</v>
      </c>
      <c r="F46">
        <v>44</v>
      </c>
      <c r="G46">
        <v>238564.53</v>
      </c>
      <c r="H46" s="7">
        <f t="shared" si="0"/>
        <v>28.571400000000001</v>
      </c>
      <c r="I46">
        <f t="shared" si="1"/>
        <v>61.682699999999997</v>
      </c>
      <c r="J46" t="str">
        <f t="shared" si="2"/>
        <v>Positive</v>
      </c>
    </row>
    <row r="47" spans="1:10" x14ac:dyDescent="0.3">
      <c r="A47" s="2">
        <v>45695</v>
      </c>
      <c r="B47" t="s">
        <v>12</v>
      </c>
      <c r="C47" t="s">
        <v>11</v>
      </c>
      <c r="D47">
        <v>2392.7600000000002</v>
      </c>
      <c r="E47">
        <v>239</v>
      </c>
      <c r="F47">
        <v>54</v>
      </c>
      <c r="G47">
        <v>270529.69</v>
      </c>
      <c r="H47" s="7">
        <f t="shared" si="0"/>
        <v>22.594100000000001</v>
      </c>
      <c r="I47">
        <f t="shared" si="1"/>
        <v>112.06180000000001</v>
      </c>
      <c r="J47" t="str">
        <f t="shared" si="2"/>
        <v>Positive</v>
      </c>
    </row>
    <row r="48" spans="1:10" x14ac:dyDescent="0.3">
      <c r="A48" s="2">
        <v>45961</v>
      </c>
      <c r="B48" t="s">
        <v>5</v>
      </c>
      <c r="C48" t="s">
        <v>9</v>
      </c>
      <c r="D48">
        <v>3806.87</v>
      </c>
      <c r="E48">
        <v>30</v>
      </c>
      <c r="F48">
        <v>10</v>
      </c>
      <c r="G48">
        <v>39798.36</v>
      </c>
      <c r="H48" s="7">
        <f t="shared" si="0"/>
        <v>33.333300000000001</v>
      </c>
      <c r="I48">
        <f t="shared" si="1"/>
        <v>9.4543999999999997</v>
      </c>
      <c r="J48" t="str">
        <f t="shared" si="2"/>
        <v>Positive</v>
      </c>
    </row>
    <row r="49" spans="1:10" x14ac:dyDescent="0.3">
      <c r="A49" s="2">
        <v>45871</v>
      </c>
      <c r="B49" t="s">
        <v>7</v>
      </c>
      <c r="C49" t="s">
        <v>9</v>
      </c>
      <c r="D49">
        <v>13872.37</v>
      </c>
      <c r="E49">
        <v>205</v>
      </c>
      <c r="F49">
        <v>41</v>
      </c>
      <c r="G49">
        <v>103869.01</v>
      </c>
      <c r="H49" s="7">
        <f t="shared" si="0"/>
        <v>20</v>
      </c>
      <c r="I49">
        <f t="shared" si="1"/>
        <v>6.4874999999999998</v>
      </c>
      <c r="J49" t="str">
        <f t="shared" si="2"/>
        <v>Positive</v>
      </c>
    </row>
    <row r="50" spans="1:10" x14ac:dyDescent="0.3">
      <c r="A50" s="2">
        <v>46013</v>
      </c>
      <c r="B50" t="s">
        <v>10</v>
      </c>
      <c r="C50" t="s">
        <v>6</v>
      </c>
      <c r="D50">
        <v>8529.1</v>
      </c>
      <c r="E50">
        <v>182</v>
      </c>
      <c r="F50">
        <v>35</v>
      </c>
      <c r="G50">
        <v>77627.03</v>
      </c>
      <c r="H50" s="7">
        <f t="shared" si="0"/>
        <v>19.230799999999999</v>
      </c>
      <c r="I50">
        <f t="shared" si="1"/>
        <v>8.1013999999999999</v>
      </c>
      <c r="J50" t="str">
        <f t="shared" si="2"/>
        <v>Positive</v>
      </c>
    </row>
    <row r="51" spans="1:10" x14ac:dyDescent="0.3">
      <c r="A51" s="2">
        <v>45714</v>
      </c>
      <c r="B51" t="s">
        <v>7</v>
      </c>
      <c r="C51" t="s">
        <v>14</v>
      </c>
      <c r="D51">
        <v>14607.7</v>
      </c>
      <c r="E51">
        <v>62</v>
      </c>
      <c r="F51">
        <v>20</v>
      </c>
      <c r="G51">
        <v>78105.91</v>
      </c>
      <c r="H51" s="7">
        <f t="shared" si="0"/>
        <v>32.258099999999999</v>
      </c>
      <c r="I51">
        <f t="shared" si="1"/>
        <v>4.3468999999999998</v>
      </c>
      <c r="J51" t="str">
        <f t="shared" si="2"/>
        <v>Positive</v>
      </c>
    </row>
    <row r="52" spans="1:10" x14ac:dyDescent="0.3">
      <c r="A52" s="2">
        <v>45760</v>
      </c>
      <c r="B52" t="s">
        <v>10</v>
      </c>
      <c r="C52" t="s">
        <v>8</v>
      </c>
      <c r="D52">
        <v>4612.34</v>
      </c>
      <c r="E52">
        <v>54</v>
      </c>
      <c r="F52">
        <v>4</v>
      </c>
      <c r="G52">
        <v>17475.89</v>
      </c>
      <c r="H52" s="7">
        <f t="shared" si="0"/>
        <v>7.4074</v>
      </c>
      <c r="I52">
        <f t="shared" si="1"/>
        <v>2.7888999999999999</v>
      </c>
      <c r="J52" t="str">
        <f t="shared" si="2"/>
        <v>Positive</v>
      </c>
    </row>
    <row r="53" spans="1:10" x14ac:dyDescent="0.3">
      <c r="A53" s="2">
        <v>45788</v>
      </c>
      <c r="B53" t="s">
        <v>12</v>
      </c>
      <c r="C53" t="s">
        <v>9</v>
      </c>
      <c r="D53">
        <v>14346.22</v>
      </c>
      <c r="E53">
        <v>111</v>
      </c>
      <c r="F53">
        <v>25</v>
      </c>
      <c r="G53">
        <v>62945.32</v>
      </c>
      <c r="H53" s="7">
        <f t="shared" si="0"/>
        <v>22.522500000000001</v>
      </c>
      <c r="I53">
        <f t="shared" si="1"/>
        <v>3.3875999999999999</v>
      </c>
      <c r="J53" t="str">
        <f t="shared" si="2"/>
        <v>Positive</v>
      </c>
    </row>
    <row r="54" spans="1:10" x14ac:dyDescent="0.3">
      <c r="A54" s="2">
        <v>45797</v>
      </c>
      <c r="B54" t="s">
        <v>7</v>
      </c>
      <c r="C54" t="s">
        <v>14</v>
      </c>
      <c r="D54">
        <v>4208.9799999999996</v>
      </c>
      <c r="E54">
        <v>102</v>
      </c>
      <c r="F54">
        <v>12</v>
      </c>
      <c r="G54">
        <v>32657.65</v>
      </c>
      <c r="H54" s="7">
        <f t="shared" si="0"/>
        <v>11.764699999999999</v>
      </c>
      <c r="I54">
        <f t="shared" si="1"/>
        <v>6.7590000000000003</v>
      </c>
      <c r="J54" t="str">
        <f t="shared" si="2"/>
        <v>Positive</v>
      </c>
    </row>
    <row r="55" spans="1:10" x14ac:dyDescent="0.3">
      <c r="A55" s="2">
        <v>45854</v>
      </c>
      <c r="B55" t="s">
        <v>5</v>
      </c>
      <c r="C55" t="s">
        <v>11</v>
      </c>
      <c r="D55">
        <v>1007.24</v>
      </c>
      <c r="E55">
        <v>243</v>
      </c>
      <c r="F55">
        <v>24</v>
      </c>
      <c r="G55">
        <v>100600.94</v>
      </c>
      <c r="H55" s="7">
        <f t="shared" si="0"/>
        <v>9.8765000000000001</v>
      </c>
      <c r="I55">
        <f t="shared" si="1"/>
        <v>98.877799999999993</v>
      </c>
      <c r="J55" t="str">
        <f t="shared" si="2"/>
        <v>Positive</v>
      </c>
    </row>
    <row r="56" spans="1:10" x14ac:dyDescent="0.3">
      <c r="A56" s="2">
        <v>45964</v>
      </c>
      <c r="B56" t="s">
        <v>12</v>
      </c>
      <c r="C56" t="s">
        <v>11</v>
      </c>
      <c r="D56">
        <v>5718.41</v>
      </c>
      <c r="E56">
        <v>203</v>
      </c>
      <c r="F56">
        <v>66</v>
      </c>
      <c r="G56">
        <v>268033.08</v>
      </c>
      <c r="H56" s="7">
        <f t="shared" si="0"/>
        <v>32.512300000000003</v>
      </c>
      <c r="I56">
        <f t="shared" si="1"/>
        <v>45.872</v>
      </c>
      <c r="J56" t="str">
        <f t="shared" si="2"/>
        <v>Positive</v>
      </c>
    </row>
    <row r="57" spans="1:10" x14ac:dyDescent="0.3">
      <c r="A57" s="2">
        <v>45962</v>
      </c>
      <c r="B57" t="s">
        <v>13</v>
      </c>
      <c r="C57" t="s">
        <v>11</v>
      </c>
      <c r="D57">
        <v>2818.19</v>
      </c>
      <c r="E57">
        <v>216</v>
      </c>
      <c r="F57">
        <v>78</v>
      </c>
      <c r="G57">
        <v>246087.12</v>
      </c>
      <c r="H57" s="7">
        <f t="shared" si="0"/>
        <v>36.1111</v>
      </c>
      <c r="I57">
        <f t="shared" si="1"/>
        <v>86.320999999999998</v>
      </c>
      <c r="J57" t="str">
        <f t="shared" si="2"/>
        <v>Positive</v>
      </c>
    </row>
    <row r="58" spans="1:10" x14ac:dyDescent="0.3">
      <c r="A58" s="2">
        <v>45738</v>
      </c>
      <c r="B58" t="s">
        <v>10</v>
      </c>
      <c r="C58" t="s">
        <v>9</v>
      </c>
      <c r="D58">
        <v>1076.6099999999999</v>
      </c>
      <c r="E58">
        <v>86</v>
      </c>
      <c r="F58">
        <v>23</v>
      </c>
      <c r="G58">
        <v>36865.300000000003</v>
      </c>
      <c r="H58" s="7">
        <f t="shared" si="0"/>
        <v>26.744199999999999</v>
      </c>
      <c r="I58">
        <f t="shared" si="1"/>
        <v>33.241999999999997</v>
      </c>
      <c r="J58" t="str">
        <f t="shared" si="2"/>
        <v>Positive</v>
      </c>
    </row>
    <row r="59" spans="1:10" x14ac:dyDescent="0.3">
      <c r="A59" s="2">
        <v>45815</v>
      </c>
      <c r="B59" t="s">
        <v>7</v>
      </c>
      <c r="C59" t="s">
        <v>8</v>
      </c>
      <c r="D59">
        <v>11471.54</v>
      </c>
      <c r="E59">
        <v>166</v>
      </c>
      <c r="F59">
        <v>49</v>
      </c>
      <c r="G59">
        <v>69919.179999999993</v>
      </c>
      <c r="H59" s="7">
        <f t="shared" si="0"/>
        <v>29.5181</v>
      </c>
      <c r="I59">
        <f t="shared" si="1"/>
        <v>5.0949999999999998</v>
      </c>
      <c r="J59" t="str">
        <f t="shared" si="2"/>
        <v>Positive</v>
      </c>
    </row>
    <row r="60" spans="1:10" x14ac:dyDescent="0.3">
      <c r="A60" s="2">
        <v>45879</v>
      </c>
      <c r="B60" t="s">
        <v>12</v>
      </c>
      <c r="C60" t="s">
        <v>8</v>
      </c>
      <c r="D60">
        <v>12493.21</v>
      </c>
      <c r="E60">
        <v>28</v>
      </c>
      <c r="F60">
        <v>9</v>
      </c>
      <c r="G60">
        <v>40563.980000000003</v>
      </c>
      <c r="H60" s="7">
        <f t="shared" si="0"/>
        <v>32.142899999999997</v>
      </c>
      <c r="I60">
        <f t="shared" si="1"/>
        <v>2.2469000000000001</v>
      </c>
      <c r="J60" t="str">
        <f t="shared" si="2"/>
        <v>Positive</v>
      </c>
    </row>
    <row r="61" spans="1:10" x14ac:dyDescent="0.3">
      <c r="A61" s="2">
        <v>45786</v>
      </c>
      <c r="B61" t="s">
        <v>7</v>
      </c>
      <c r="C61" t="s">
        <v>14</v>
      </c>
      <c r="D61">
        <v>3400.45</v>
      </c>
      <c r="E61">
        <v>225</v>
      </c>
      <c r="F61">
        <v>76</v>
      </c>
      <c r="G61">
        <v>181952.33</v>
      </c>
      <c r="H61" s="7">
        <f t="shared" si="0"/>
        <v>33.777799999999999</v>
      </c>
      <c r="I61">
        <f t="shared" si="1"/>
        <v>52.508299999999998</v>
      </c>
      <c r="J61" t="str">
        <f t="shared" si="2"/>
        <v>Positive</v>
      </c>
    </row>
    <row r="62" spans="1:10" x14ac:dyDescent="0.3">
      <c r="A62" s="2">
        <v>45835</v>
      </c>
      <c r="B62" t="s">
        <v>10</v>
      </c>
      <c r="C62" t="s">
        <v>8</v>
      </c>
      <c r="D62">
        <v>14615.53</v>
      </c>
      <c r="E62">
        <v>97</v>
      </c>
      <c r="F62">
        <v>9</v>
      </c>
      <c r="G62">
        <v>27059.89</v>
      </c>
      <c r="H62" s="7">
        <f t="shared" si="0"/>
        <v>9.2783999999999995</v>
      </c>
      <c r="I62">
        <f t="shared" si="1"/>
        <v>0.85140000000000005</v>
      </c>
      <c r="J62" t="str">
        <f t="shared" si="2"/>
        <v>Positive</v>
      </c>
    </row>
    <row r="63" spans="1:10" x14ac:dyDescent="0.3">
      <c r="A63" s="2">
        <v>45839</v>
      </c>
      <c r="B63" t="s">
        <v>7</v>
      </c>
      <c r="C63" t="s">
        <v>14</v>
      </c>
      <c r="D63">
        <v>3369.3</v>
      </c>
      <c r="E63">
        <v>140</v>
      </c>
      <c r="F63">
        <v>56</v>
      </c>
      <c r="G63">
        <v>183716.72</v>
      </c>
      <c r="H63" s="7">
        <f t="shared" si="0"/>
        <v>40</v>
      </c>
      <c r="I63">
        <f t="shared" si="1"/>
        <v>53.526699999999998</v>
      </c>
      <c r="J63" t="str">
        <f t="shared" si="2"/>
        <v>Positive</v>
      </c>
    </row>
    <row r="64" spans="1:10" x14ac:dyDescent="0.3">
      <c r="A64" s="2">
        <v>45953</v>
      </c>
      <c r="B64" t="s">
        <v>13</v>
      </c>
      <c r="C64" t="s">
        <v>9</v>
      </c>
      <c r="D64">
        <v>3255.93</v>
      </c>
      <c r="E64">
        <v>213</v>
      </c>
      <c r="F64">
        <v>40</v>
      </c>
      <c r="G64">
        <v>66271.740000000005</v>
      </c>
      <c r="H64" s="7">
        <f t="shared" si="0"/>
        <v>18.779299999999999</v>
      </c>
      <c r="I64">
        <f t="shared" si="1"/>
        <v>19.354199999999999</v>
      </c>
      <c r="J64" t="str">
        <f t="shared" si="2"/>
        <v>Positive</v>
      </c>
    </row>
    <row r="65" spans="1:10" x14ac:dyDescent="0.3">
      <c r="A65" s="2">
        <v>45685</v>
      </c>
      <c r="B65" t="s">
        <v>12</v>
      </c>
      <c r="C65" t="s">
        <v>8</v>
      </c>
      <c r="D65">
        <v>4398.43</v>
      </c>
      <c r="E65">
        <v>199</v>
      </c>
      <c r="F65">
        <v>26</v>
      </c>
      <c r="G65">
        <v>71387.06</v>
      </c>
      <c r="H65" s="7">
        <f t="shared" si="0"/>
        <v>13.065300000000001</v>
      </c>
      <c r="I65">
        <f t="shared" si="1"/>
        <v>15.2301</v>
      </c>
      <c r="J65" t="str">
        <f t="shared" si="2"/>
        <v>Positive</v>
      </c>
    </row>
    <row r="66" spans="1:10" x14ac:dyDescent="0.3">
      <c r="A66" s="2">
        <v>45744</v>
      </c>
      <c r="B66" t="s">
        <v>12</v>
      </c>
      <c r="C66" t="s">
        <v>6</v>
      </c>
      <c r="D66">
        <v>5368.26</v>
      </c>
      <c r="E66">
        <v>139</v>
      </c>
      <c r="F66">
        <v>46</v>
      </c>
      <c r="G66">
        <v>249991.97</v>
      </c>
      <c r="H66" s="7">
        <f t="shared" ref="H66:H129" si="3">ROUND((F66/E66)*100,4)</f>
        <v>33.093499999999999</v>
      </c>
      <c r="I66">
        <f t="shared" ref="I66:I129" si="4">ROUND(((G66-D66)/D66),4)</f>
        <v>45.5685</v>
      </c>
      <c r="J66" t="str">
        <f t="shared" si="2"/>
        <v>Positive</v>
      </c>
    </row>
    <row r="67" spans="1:10" x14ac:dyDescent="0.3">
      <c r="A67" s="2">
        <v>45772</v>
      </c>
      <c r="B67" t="s">
        <v>12</v>
      </c>
      <c r="C67" t="s">
        <v>11</v>
      </c>
      <c r="D67">
        <v>3913.35</v>
      </c>
      <c r="E67">
        <v>237</v>
      </c>
      <c r="F67">
        <v>57</v>
      </c>
      <c r="G67">
        <v>337759.52</v>
      </c>
      <c r="H67" s="7">
        <f t="shared" si="3"/>
        <v>24.050599999999999</v>
      </c>
      <c r="I67">
        <f t="shared" si="4"/>
        <v>85.309600000000003</v>
      </c>
      <c r="J67" t="str">
        <f t="shared" ref="J67:J130" si="5">IF(I67&gt;0,"Positive","Negative")</f>
        <v>Positive</v>
      </c>
    </row>
    <row r="68" spans="1:10" x14ac:dyDescent="0.3">
      <c r="A68" s="2">
        <v>45910</v>
      </c>
      <c r="B68" t="s">
        <v>10</v>
      </c>
      <c r="C68" t="s">
        <v>9</v>
      </c>
      <c r="D68">
        <v>6019.43</v>
      </c>
      <c r="E68">
        <v>81</v>
      </c>
      <c r="F68">
        <v>2</v>
      </c>
      <c r="G68">
        <v>3827.8</v>
      </c>
      <c r="H68" s="7">
        <f t="shared" si="3"/>
        <v>2.4691000000000001</v>
      </c>
      <c r="I68">
        <f t="shared" si="4"/>
        <v>-0.36409999999999998</v>
      </c>
      <c r="J68" t="str">
        <f t="shared" si="5"/>
        <v>Negative</v>
      </c>
    </row>
    <row r="69" spans="1:10" x14ac:dyDescent="0.3">
      <c r="A69" s="2">
        <v>45686</v>
      </c>
      <c r="B69" t="s">
        <v>13</v>
      </c>
      <c r="C69" t="s">
        <v>11</v>
      </c>
      <c r="D69">
        <v>5706.63</v>
      </c>
      <c r="E69">
        <v>38</v>
      </c>
      <c r="F69">
        <v>9</v>
      </c>
      <c r="G69">
        <v>48553.26</v>
      </c>
      <c r="H69" s="7">
        <f t="shared" si="3"/>
        <v>23.684200000000001</v>
      </c>
      <c r="I69">
        <f t="shared" si="4"/>
        <v>7.5082000000000004</v>
      </c>
      <c r="J69" t="str">
        <f t="shared" si="5"/>
        <v>Positive</v>
      </c>
    </row>
    <row r="70" spans="1:10" x14ac:dyDescent="0.3">
      <c r="A70" s="2">
        <v>45905</v>
      </c>
      <c r="B70" t="s">
        <v>13</v>
      </c>
      <c r="C70" t="s">
        <v>14</v>
      </c>
      <c r="D70">
        <v>5275.54</v>
      </c>
      <c r="E70">
        <v>177</v>
      </c>
      <c r="F70">
        <v>33</v>
      </c>
      <c r="G70">
        <v>159486.85</v>
      </c>
      <c r="H70" s="7">
        <f t="shared" si="3"/>
        <v>18.644100000000002</v>
      </c>
      <c r="I70">
        <f t="shared" si="4"/>
        <v>29.231400000000001</v>
      </c>
      <c r="J70" t="str">
        <f t="shared" si="5"/>
        <v>Positive</v>
      </c>
    </row>
    <row r="71" spans="1:10" x14ac:dyDescent="0.3">
      <c r="A71" s="2">
        <v>45871</v>
      </c>
      <c r="B71" t="s">
        <v>12</v>
      </c>
      <c r="C71" t="s">
        <v>11</v>
      </c>
      <c r="D71">
        <v>5143.6899999999996</v>
      </c>
      <c r="E71">
        <v>179</v>
      </c>
      <c r="F71">
        <v>62</v>
      </c>
      <c r="G71">
        <v>123320.57</v>
      </c>
      <c r="H71" s="7">
        <f t="shared" si="3"/>
        <v>34.636899999999997</v>
      </c>
      <c r="I71">
        <f t="shared" si="4"/>
        <v>22.975100000000001</v>
      </c>
      <c r="J71" t="str">
        <f t="shared" si="5"/>
        <v>Positive</v>
      </c>
    </row>
    <row r="72" spans="1:10" x14ac:dyDescent="0.3">
      <c r="A72" s="2">
        <v>45768</v>
      </c>
      <c r="B72" t="s">
        <v>12</v>
      </c>
      <c r="C72" t="s">
        <v>14</v>
      </c>
      <c r="D72">
        <v>6411.47</v>
      </c>
      <c r="E72">
        <v>172</v>
      </c>
      <c r="F72">
        <v>55</v>
      </c>
      <c r="G72">
        <v>109688.14</v>
      </c>
      <c r="H72" s="7">
        <f t="shared" si="3"/>
        <v>31.976700000000001</v>
      </c>
      <c r="I72">
        <f t="shared" si="4"/>
        <v>16.1081</v>
      </c>
      <c r="J72" t="str">
        <f t="shared" si="5"/>
        <v>Positive</v>
      </c>
    </row>
    <row r="73" spans="1:10" x14ac:dyDescent="0.3">
      <c r="A73" s="2">
        <v>45941</v>
      </c>
      <c r="B73" t="s">
        <v>13</v>
      </c>
      <c r="C73" t="s">
        <v>6</v>
      </c>
      <c r="D73">
        <v>2998.22</v>
      </c>
      <c r="E73">
        <v>202</v>
      </c>
      <c r="F73">
        <v>56</v>
      </c>
      <c r="G73">
        <v>228271.99</v>
      </c>
      <c r="H73" s="7">
        <f t="shared" si="3"/>
        <v>27.722799999999999</v>
      </c>
      <c r="I73">
        <f t="shared" si="4"/>
        <v>75.135800000000003</v>
      </c>
      <c r="J73" t="str">
        <f t="shared" si="5"/>
        <v>Positive</v>
      </c>
    </row>
    <row r="74" spans="1:10" x14ac:dyDescent="0.3">
      <c r="A74" s="2">
        <v>45866</v>
      </c>
      <c r="B74" t="s">
        <v>13</v>
      </c>
      <c r="C74" t="s">
        <v>14</v>
      </c>
      <c r="D74">
        <v>4335.8500000000004</v>
      </c>
      <c r="E74">
        <v>135</v>
      </c>
      <c r="F74">
        <v>7</v>
      </c>
      <c r="G74">
        <v>39062.910000000003</v>
      </c>
      <c r="H74" s="7">
        <f t="shared" si="3"/>
        <v>5.1852</v>
      </c>
      <c r="I74">
        <f t="shared" si="4"/>
        <v>8.0092999999999996</v>
      </c>
      <c r="J74" t="str">
        <f t="shared" si="5"/>
        <v>Positive</v>
      </c>
    </row>
    <row r="75" spans="1:10" x14ac:dyDescent="0.3">
      <c r="A75" s="2">
        <v>45981</v>
      </c>
      <c r="B75" t="s">
        <v>12</v>
      </c>
      <c r="C75" t="s">
        <v>9</v>
      </c>
      <c r="D75">
        <v>3508.88</v>
      </c>
      <c r="E75">
        <v>205</v>
      </c>
      <c r="F75">
        <v>13</v>
      </c>
      <c r="G75">
        <v>31299.54</v>
      </c>
      <c r="H75" s="7">
        <f t="shared" si="3"/>
        <v>6.3414999999999999</v>
      </c>
      <c r="I75">
        <f t="shared" si="4"/>
        <v>7.9200999999999997</v>
      </c>
      <c r="J75" t="str">
        <f t="shared" si="5"/>
        <v>Positive</v>
      </c>
    </row>
    <row r="76" spans="1:10" x14ac:dyDescent="0.3">
      <c r="A76" s="2">
        <v>45890</v>
      </c>
      <c r="B76" t="s">
        <v>5</v>
      </c>
      <c r="C76" t="s">
        <v>9</v>
      </c>
      <c r="D76">
        <v>10868.79</v>
      </c>
      <c r="E76">
        <v>91</v>
      </c>
      <c r="F76">
        <v>6</v>
      </c>
      <c r="G76">
        <v>18288.89</v>
      </c>
      <c r="H76" s="7">
        <f t="shared" si="3"/>
        <v>6.5933999999999999</v>
      </c>
      <c r="I76">
        <f t="shared" si="4"/>
        <v>0.68269999999999997</v>
      </c>
      <c r="J76" t="str">
        <f t="shared" si="5"/>
        <v>Positive</v>
      </c>
    </row>
    <row r="77" spans="1:10" x14ac:dyDescent="0.3">
      <c r="A77" s="2">
        <v>45794</v>
      </c>
      <c r="B77" t="s">
        <v>13</v>
      </c>
      <c r="C77" t="s">
        <v>8</v>
      </c>
      <c r="D77">
        <v>5983.73</v>
      </c>
      <c r="E77">
        <v>78</v>
      </c>
      <c r="F77">
        <v>3</v>
      </c>
      <c r="G77">
        <v>11450.45</v>
      </c>
      <c r="H77" s="7">
        <f t="shared" si="3"/>
        <v>3.8462000000000001</v>
      </c>
      <c r="I77">
        <f t="shared" si="4"/>
        <v>0.91359999999999997</v>
      </c>
      <c r="J77" t="str">
        <f t="shared" si="5"/>
        <v>Positive</v>
      </c>
    </row>
    <row r="78" spans="1:10" x14ac:dyDescent="0.3">
      <c r="A78" s="2">
        <v>45859</v>
      </c>
      <c r="B78" t="s">
        <v>13</v>
      </c>
      <c r="C78" t="s">
        <v>6</v>
      </c>
      <c r="D78">
        <v>10304.700000000001</v>
      </c>
      <c r="E78">
        <v>195</v>
      </c>
      <c r="F78">
        <v>14</v>
      </c>
      <c r="G78">
        <v>73559.47</v>
      </c>
      <c r="H78" s="7">
        <f t="shared" si="3"/>
        <v>7.1795</v>
      </c>
      <c r="I78">
        <f t="shared" si="4"/>
        <v>6.1383999999999999</v>
      </c>
      <c r="J78" t="str">
        <f t="shared" si="5"/>
        <v>Positive</v>
      </c>
    </row>
    <row r="79" spans="1:10" x14ac:dyDescent="0.3">
      <c r="A79" s="2">
        <v>45747</v>
      </c>
      <c r="B79" t="s">
        <v>10</v>
      </c>
      <c r="C79" t="s">
        <v>9</v>
      </c>
      <c r="D79">
        <v>13631.21</v>
      </c>
      <c r="E79">
        <v>197</v>
      </c>
      <c r="F79">
        <v>44</v>
      </c>
      <c r="G79">
        <v>180795.74</v>
      </c>
      <c r="H79" s="7">
        <f t="shared" si="3"/>
        <v>22.335000000000001</v>
      </c>
      <c r="I79">
        <f t="shared" si="4"/>
        <v>12.263400000000001</v>
      </c>
      <c r="J79" t="str">
        <f t="shared" si="5"/>
        <v>Positive</v>
      </c>
    </row>
    <row r="80" spans="1:10" x14ac:dyDescent="0.3">
      <c r="A80" s="2">
        <v>45793</v>
      </c>
      <c r="B80" t="s">
        <v>10</v>
      </c>
      <c r="C80" t="s">
        <v>6</v>
      </c>
      <c r="D80">
        <v>5446.54</v>
      </c>
      <c r="E80">
        <v>103</v>
      </c>
      <c r="F80">
        <v>21</v>
      </c>
      <c r="G80">
        <v>71851.929999999993</v>
      </c>
      <c r="H80" s="7">
        <f t="shared" si="3"/>
        <v>20.388300000000001</v>
      </c>
      <c r="I80">
        <f t="shared" si="4"/>
        <v>12.1922</v>
      </c>
      <c r="J80" t="str">
        <f t="shared" si="5"/>
        <v>Positive</v>
      </c>
    </row>
    <row r="81" spans="1:10" x14ac:dyDescent="0.3">
      <c r="A81" s="2">
        <v>45868</v>
      </c>
      <c r="B81" t="s">
        <v>13</v>
      </c>
      <c r="C81" t="s">
        <v>8</v>
      </c>
      <c r="D81">
        <v>1295.8900000000001</v>
      </c>
      <c r="E81">
        <v>98</v>
      </c>
      <c r="F81">
        <v>2</v>
      </c>
      <c r="G81">
        <v>7256.5</v>
      </c>
      <c r="H81" s="7">
        <f t="shared" si="3"/>
        <v>2.0407999999999999</v>
      </c>
      <c r="I81">
        <f t="shared" si="4"/>
        <v>4.5995999999999997</v>
      </c>
      <c r="J81" t="str">
        <f t="shared" si="5"/>
        <v>Positive</v>
      </c>
    </row>
    <row r="82" spans="1:10" x14ac:dyDescent="0.3">
      <c r="A82" s="2">
        <v>45702</v>
      </c>
      <c r="B82" t="s">
        <v>5</v>
      </c>
      <c r="C82" t="s">
        <v>9</v>
      </c>
      <c r="D82">
        <v>4258.5200000000004</v>
      </c>
      <c r="E82">
        <v>230</v>
      </c>
      <c r="F82">
        <v>45</v>
      </c>
      <c r="G82">
        <v>118253.78</v>
      </c>
      <c r="H82" s="7">
        <f t="shared" si="3"/>
        <v>19.565200000000001</v>
      </c>
      <c r="I82">
        <f t="shared" si="4"/>
        <v>26.768799999999999</v>
      </c>
      <c r="J82" t="str">
        <f t="shared" si="5"/>
        <v>Positive</v>
      </c>
    </row>
    <row r="83" spans="1:10" x14ac:dyDescent="0.3">
      <c r="A83" s="2">
        <v>45700</v>
      </c>
      <c r="B83" t="s">
        <v>7</v>
      </c>
      <c r="C83" t="s">
        <v>6</v>
      </c>
      <c r="D83">
        <v>3507.18</v>
      </c>
      <c r="E83">
        <v>37</v>
      </c>
      <c r="F83">
        <v>6</v>
      </c>
      <c r="G83">
        <v>30173.59</v>
      </c>
      <c r="H83" s="7">
        <f t="shared" si="3"/>
        <v>16.216200000000001</v>
      </c>
      <c r="I83">
        <f t="shared" si="4"/>
        <v>7.6033999999999997</v>
      </c>
      <c r="J83" t="str">
        <f t="shared" si="5"/>
        <v>Positive</v>
      </c>
    </row>
    <row r="84" spans="1:10" x14ac:dyDescent="0.3">
      <c r="A84" s="2">
        <v>45859</v>
      </c>
      <c r="B84" t="s">
        <v>7</v>
      </c>
      <c r="C84" t="s">
        <v>6</v>
      </c>
      <c r="D84">
        <v>4395.74</v>
      </c>
      <c r="E84">
        <v>167</v>
      </c>
      <c r="F84">
        <v>63</v>
      </c>
      <c r="G84">
        <v>141850</v>
      </c>
      <c r="H84" s="7">
        <f t="shared" si="3"/>
        <v>37.724600000000002</v>
      </c>
      <c r="I84">
        <f t="shared" si="4"/>
        <v>31.2699</v>
      </c>
      <c r="J84" t="str">
        <f t="shared" si="5"/>
        <v>Positive</v>
      </c>
    </row>
    <row r="85" spans="1:10" x14ac:dyDescent="0.3">
      <c r="A85" s="2">
        <v>45894</v>
      </c>
      <c r="B85" t="s">
        <v>5</v>
      </c>
      <c r="C85" t="s">
        <v>14</v>
      </c>
      <c r="D85">
        <v>3563.99</v>
      </c>
      <c r="E85">
        <v>224</v>
      </c>
      <c r="F85">
        <v>2</v>
      </c>
      <c r="G85">
        <v>2838.97</v>
      </c>
      <c r="H85" s="7">
        <f t="shared" si="3"/>
        <v>0.89290000000000003</v>
      </c>
      <c r="I85">
        <f t="shared" si="4"/>
        <v>-0.2034</v>
      </c>
      <c r="J85" t="str">
        <f t="shared" si="5"/>
        <v>Negative</v>
      </c>
    </row>
    <row r="86" spans="1:10" x14ac:dyDescent="0.3">
      <c r="A86" s="2">
        <v>45959</v>
      </c>
      <c r="B86" t="s">
        <v>12</v>
      </c>
      <c r="C86" t="s">
        <v>8</v>
      </c>
      <c r="D86">
        <v>9185.69</v>
      </c>
      <c r="E86">
        <v>48</v>
      </c>
      <c r="F86">
        <v>17</v>
      </c>
      <c r="G86">
        <v>38358.03</v>
      </c>
      <c r="H86" s="7">
        <f t="shared" si="3"/>
        <v>35.416699999999999</v>
      </c>
      <c r="I86">
        <f t="shared" si="4"/>
        <v>3.1758000000000002</v>
      </c>
      <c r="J86" t="str">
        <f t="shared" si="5"/>
        <v>Positive</v>
      </c>
    </row>
    <row r="87" spans="1:10" x14ac:dyDescent="0.3">
      <c r="A87" s="2">
        <v>45847</v>
      </c>
      <c r="B87" t="s">
        <v>7</v>
      </c>
      <c r="C87" t="s">
        <v>9</v>
      </c>
      <c r="D87">
        <v>8453.6</v>
      </c>
      <c r="E87">
        <v>193</v>
      </c>
      <c r="F87">
        <v>47</v>
      </c>
      <c r="G87">
        <v>262579.65999999997</v>
      </c>
      <c r="H87" s="7">
        <f t="shared" si="3"/>
        <v>24.3523</v>
      </c>
      <c r="I87">
        <f t="shared" si="4"/>
        <v>30.061299999999999</v>
      </c>
      <c r="J87" t="str">
        <f t="shared" si="5"/>
        <v>Positive</v>
      </c>
    </row>
    <row r="88" spans="1:10" x14ac:dyDescent="0.3">
      <c r="A88" s="2">
        <v>45673</v>
      </c>
      <c r="B88" t="s">
        <v>12</v>
      </c>
      <c r="C88" t="s">
        <v>8</v>
      </c>
      <c r="D88">
        <v>7155.94</v>
      </c>
      <c r="E88">
        <v>165</v>
      </c>
      <c r="F88">
        <v>13</v>
      </c>
      <c r="G88">
        <v>62947.15</v>
      </c>
      <c r="H88" s="7">
        <f t="shared" si="3"/>
        <v>7.8788</v>
      </c>
      <c r="I88">
        <f t="shared" si="4"/>
        <v>7.7965</v>
      </c>
      <c r="J88" t="str">
        <f t="shared" si="5"/>
        <v>Positive</v>
      </c>
    </row>
    <row r="89" spans="1:10" x14ac:dyDescent="0.3">
      <c r="A89" s="2">
        <v>45817</v>
      </c>
      <c r="B89" t="s">
        <v>7</v>
      </c>
      <c r="C89" t="s">
        <v>8</v>
      </c>
      <c r="D89">
        <v>5071.43</v>
      </c>
      <c r="E89">
        <v>208</v>
      </c>
      <c r="F89">
        <v>47</v>
      </c>
      <c r="G89">
        <v>62482.12</v>
      </c>
      <c r="H89" s="7">
        <f t="shared" si="3"/>
        <v>22.5962</v>
      </c>
      <c r="I89">
        <f t="shared" si="4"/>
        <v>11.320399999999999</v>
      </c>
      <c r="J89" t="str">
        <f t="shared" si="5"/>
        <v>Positive</v>
      </c>
    </row>
    <row r="90" spans="1:10" x14ac:dyDescent="0.3">
      <c r="A90" s="2">
        <v>45815</v>
      </c>
      <c r="B90" t="s">
        <v>5</v>
      </c>
      <c r="C90" t="s">
        <v>8</v>
      </c>
      <c r="D90">
        <v>10736.56</v>
      </c>
      <c r="E90">
        <v>110</v>
      </c>
      <c r="F90">
        <v>29</v>
      </c>
      <c r="G90">
        <v>121656.54</v>
      </c>
      <c r="H90" s="7">
        <f t="shared" si="3"/>
        <v>26.363600000000002</v>
      </c>
      <c r="I90">
        <f t="shared" si="4"/>
        <v>10.331099999999999</v>
      </c>
      <c r="J90" t="str">
        <f t="shared" si="5"/>
        <v>Positive</v>
      </c>
    </row>
    <row r="91" spans="1:10" x14ac:dyDescent="0.3">
      <c r="A91" s="2">
        <v>45756</v>
      </c>
      <c r="B91" t="s">
        <v>7</v>
      </c>
      <c r="C91" t="s">
        <v>11</v>
      </c>
      <c r="D91">
        <v>13585.06</v>
      </c>
      <c r="E91">
        <v>27</v>
      </c>
      <c r="F91">
        <v>3</v>
      </c>
      <c r="G91">
        <v>16621.63</v>
      </c>
      <c r="H91" s="7">
        <f t="shared" si="3"/>
        <v>11.1111</v>
      </c>
      <c r="I91">
        <f t="shared" si="4"/>
        <v>0.2235</v>
      </c>
      <c r="J91" t="str">
        <f t="shared" si="5"/>
        <v>Positive</v>
      </c>
    </row>
    <row r="92" spans="1:10" x14ac:dyDescent="0.3">
      <c r="A92" s="2">
        <v>45786</v>
      </c>
      <c r="B92" t="s">
        <v>7</v>
      </c>
      <c r="C92" t="s">
        <v>11</v>
      </c>
      <c r="D92">
        <v>3987.44</v>
      </c>
      <c r="E92">
        <v>183</v>
      </c>
      <c r="F92">
        <v>68</v>
      </c>
      <c r="G92">
        <v>166924.82999999999</v>
      </c>
      <c r="H92" s="7">
        <f t="shared" si="3"/>
        <v>37.158499999999997</v>
      </c>
      <c r="I92">
        <f t="shared" si="4"/>
        <v>40.862699999999997</v>
      </c>
      <c r="J92" t="str">
        <f t="shared" si="5"/>
        <v>Positive</v>
      </c>
    </row>
    <row r="93" spans="1:10" x14ac:dyDescent="0.3">
      <c r="A93" s="2">
        <v>45661</v>
      </c>
      <c r="B93" t="s">
        <v>13</v>
      </c>
      <c r="C93" t="s">
        <v>14</v>
      </c>
      <c r="D93">
        <v>10304.99</v>
      </c>
      <c r="E93">
        <v>207</v>
      </c>
      <c r="F93">
        <v>64</v>
      </c>
      <c r="G93">
        <v>325971.20000000001</v>
      </c>
      <c r="H93" s="7">
        <f t="shared" si="3"/>
        <v>30.917899999999999</v>
      </c>
      <c r="I93">
        <f t="shared" si="4"/>
        <v>30.632400000000001</v>
      </c>
      <c r="J93" t="str">
        <f t="shared" si="5"/>
        <v>Positive</v>
      </c>
    </row>
    <row r="94" spans="1:10" x14ac:dyDescent="0.3">
      <c r="A94" s="2">
        <v>45935</v>
      </c>
      <c r="B94" t="s">
        <v>12</v>
      </c>
      <c r="C94" t="s">
        <v>11</v>
      </c>
      <c r="D94">
        <v>4444.6099999999997</v>
      </c>
      <c r="E94">
        <v>207</v>
      </c>
      <c r="F94">
        <v>10</v>
      </c>
      <c r="G94">
        <v>21031.83</v>
      </c>
      <c r="H94" s="7">
        <f t="shared" si="3"/>
        <v>4.8308999999999997</v>
      </c>
      <c r="I94">
        <f t="shared" si="4"/>
        <v>3.7320000000000002</v>
      </c>
      <c r="J94" t="str">
        <f t="shared" si="5"/>
        <v>Positive</v>
      </c>
    </row>
    <row r="95" spans="1:10" x14ac:dyDescent="0.3">
      <c r="A95" s="2">
        <v>45909</v>
      </c>
      <c r="B95" t="s">
        <v>12</v>
      </c>
      <c r="C95" t="s">
        <v>6</v>
      </c>
      <c r="D95">
        <v>13502.46</v>
      </c>
      <c r="E95">
        <v>166</v>
      </c>
      <c r="F95">
        <v>44</v>
      </c>
      <c r="G95">
        <v>211343.07</v>
      </c>
      <c r="H95" s="7">
        <f t="shared" si="3"/>
        <v>26.506</v>
      </c>
      <c r="I95">
        <f t="shared" si="4"/>
        <v>14.652200000000001</v>
      </c>
      <c r="J95" t="str">
        <f t="shared" si="5"/>
        <v>Positive</v>
      </c>
    </row>
    <row r="96" spans="1:10" x14ac:dyDescent="0.3">
      <c r="A96" s="2">
        <v>45674</v>
      </c>
      <c r="B96" t="s">
        <v>7</v>
      </c>
      <c r="C96" t="s">
        <v>8</v>
      </c>
      <c r="D96">
        <v>4819.93</v>
      </c>
      <c r="E96">
        <v>176</v>
      </c>
      <c r="F96">
        <v>63</v>
      </c>
      <c r="G96">
        <v>151241.46</v>
      </c>
      <c r="H96" s="7">
        <f t="shared" si="3"/>
        <v>35.795499999999997</v>
      </c>
      <c r="I96">
        <f t="shared" si="4"/>
        <v>30.378399999999999</v>
      </c>
      <c r="J96" t="str">
        <f t="shared" si="5"/>
        <v>Positive</v>
      </c>
    </row>
    <row r="97" spans="1:10" x14ac:dyDescent="0.3">
      <c r="A97" s="2">
        <v>45925</v>
      </c>
      <c r="B97" t="s">
        <v>5</v>
      </c>
      <c r="C97" t="s">
        <v>11</v>
      </c>
      <c r="D97">
        <v>13977.3</v>
      </c>
      <c r="E97">
        <v>210</v>
      </c>
      <c r="F97">
        <v>39</v>
      </c>
      <c r="G97">
        <v>221519.09</v>
      </c>
      <c r="H97" s="7">
        <f t="shared" si="3"/>
        <v>18.571400000000001</v>
      </c>
      <c r="I97">
        <f t="shared" si="4"/>
        <v>14.8485</v>
      </c>
      <c r="J97" t="str">
        <f t="shared" si="5"/>
        <v>Positive</v>
      </c>
    </row>
    <row r="98" spans="1:10" x14ac:dyDescent="0.3">
      <c r="A98" s="2">
        <v>45832</v>
      </c>
      <c r="B98" t="s">
        <v>5</v>
      </c>
      <c r="C98" t="s">
        <v>11</v>
      </c>
      <c r="D98">
        <v>14829.42</v>
      </c>
      <c r="E98">
        <v>247</v>
      </c>
      <c r="F98">
        <v>22</v>
      </c>
      <c r="G98">
        <v>54073.37</v>
      </c>
      <c r="H98" s="7">
        <f t="shared" si="3"/>
        <v>8.9069000000000003</v>
      </c>
      <c r="I98">
        <f t="shared" si="4"/>
        <v>2.6463999999999999</v>
      </c>
      <c r="J98" t="str">
        <f t="shared" si="5"/>
        <v>Positive</v>
      </c>
    </row>
    <row r="99" spans="1:10" x14ac:dyDescent="0.3">
      <c r="A99" s="2">
        <v>45922</v>
      </c>
      <c r="B99" t="s">
        <v>5</v>
      </c>
      <c r="C99" t="s">
        <v>6</v>
      </c>
      <c r="D99">
        <v>2051.11</v>
      </c>
      <c r="E99">
        <v>168</v>
      </c>
      <c r="F99">
        <v>31</v>
      </c>
      <c r="G99">
        <v>148597.17000000001</v>
      </c>
      <c r="H99" s="7">
        <f t="shared" si="3"/>
        <v>18.452400000000001</v>
      </c>
      <c r="I99">
        <f t="shared" si="4"/>
        <v>71.447199999999995</v>
      </c>
      <c r="J99" t="str">
        <f t="shared" si="5"/>
        <v>Positive</v>
      </c>
    </row>
    <row r="100" spans="1:10" x14ac:dyDescent="0.3">
      <c r="A100" s="2">
        <v>45884</v>
      </c>
      <c r="B100" t="s">
        <v>7</v>
      </c>
      <c r="C100" t="s">
        <v>11</v>
      </c>
      <c r="D100">
        <v>10753.86</v>
      </c>
      <c r="E100">
        <v>56</v>
      </c>
      <c r="F100">
        <v>3</v>
      </c>
      <c r="G100">
        <v>11761.88</v>
      </c>
      <c r="H100" s="7">
        <f t="shared" si="3"/>
        <v>5.3571</v>
      </c>
      <c r="I100">
        <f t="shared" si="4"/>
        <v>9.3700000000000006E-2</v>
      </c>
      <c r="J100" t="str">
        <f t="shared" si="5"/>
        <v>Positive</v>
      </c>
    </row>
    <row r="101" spans="1:10" x14ac:dyDescent="0.3">
      <c r="A101" s="2">
        <v>45834</v>
      </c>
      <c r="B101" t="s">
        <v>7</v>
      </c>
      <c r="C101" t="s">
        <v>14</v>
      </c>
      <c r="D101">
        <v>4901.9799999999996</v>
      </c>
      <c r="E101">
        <v>231</v>
      </c>
      <c r="F101">
        <v>39</v>
      </c>
      <c r="G101">
        <v>47882.61</v>
      </c>
      <c r="H101" s="7">
        <f t="shared" si="3"/>
        <v>16.883099999999999</v>
      </c>
      <c r="I101">
        <f t="shared" si="4"/>
        <v>8.7680000000000007</v>
      </c>
      <c r="J101" t="str">
        <f t="shared" si="5"/>
        <v>Positive</v>
      </c>
    </row>
    <row r="102" spans="1:10" x14ac:dyDescent="0.3">
      <c r="A102" s="2">
        <v>45969</v>
      </c>
      <c r="B102" t="s">
        <v>7</v>
      </c>
      <c r="C102" t="s">
        <v>8</v>
      </c>
      <c r="D102">
        <v>7228.89</v>
      </c>
      <c r="E102">
        <v>48</v>
      </c>
      <c r="F102">
        <v>14</v>
      </c>
      <c r="G102">
        <v>81806.22</v>
      </c>
      <c r="H102" s="7">
        <f t="shared" si="3"/>
        <v>29.166699999999999</v>
      </c>
      <c r="I102">
        <f t="shared" si="4"/>
        <v>10.316599999999999</v>
      </c>
      <c r="J102" t="str">
        <f t="shared" si="5"/>
        <v>Positive</v>
      </c>
    </row>
    <row r="103" spans="1:10" x14ac:dyDescent="0.3">
      <c r="A103" s="2">
        <v>45742</v>
      </c>
      <c r="B103" t="s">
        <v>7</v>
      </c>
      <c r="C103" t="s">
        <v>9</v>
      </c>
      <c r="D103">
        <v>14893.31</v>
      </c>
      <c r="E103">
        <v>69</v>
      </c>
      <c r="F103">
        <v>27</v>
      </c>
      <c r="G103">
        <v>67017.919999999998</v>
      </c>
      <c r="H103" s="7">
        <f t="shared" si="3"/>
        <v>39.130400000000002</v>
      </c>
      <c r="I103">
        <f t="shared" si="4"/>
        <v>3.4998999999999998</v>
      </c>
      <c r="J103" t="str">
        <f t="shared" si="5"/>
        <v>Positive</v>
      </c>
    </row>
    <row r="104" spans="1:10" x14ac:dyDescent="0.3">
      <c r="A104" s="2">
        <v>46004</v>
      </c>
      <c r="B104" t="s">
        <v>13</v>
      </c>
      <c r="C104" t="s">
        <v>14</v>
      </c>
      <c r="D104">
        <v>4960.3500000000004</v>
      </c>
      <c r="E104">
        <v>122</v>
      </c>
      <c r="F104">
        <v>48</v>
      </c>
      <c r="G104">
        <v>190754.84</v>
      </c>
      <c r="H104" s="7">
        <f t="shared" si="3"/>
        <v>39.344299999999997</v>
      </c>
      <c r="I104">
        <f t="shared" si="4"/>
        <v>37.4559</v>
      </c>
      <c r="J104" t="str">
        <f t="shared" si="5"/>
        <v>Positive</v>
      </c>
    </row>
    <row r="105" spans="1:10" x14ac:dyDescent="0.3">
      <c r="A105" s="2">
        <v>45802</v>
      </c>
      <c r="B105" t="s">
        <v>13</v>
      </c>
      <c r="C105" t="s">
        <v>11</v>
      </c>
      <c r="D105">
        <v>8419.39</v>
      </c>
      <c r="E105">
        <v>160</v>
      </c>
      <c r="F105">
        <v>9</v>
      </c>
      <c r="G105">
        <v>47963.65</v>
      </c>
      <c r="H105" s="7">
        <f t="shared" si="3"/>
        <v>5.625</v>
      </c>
      <c r="I105">
        <f t="shared" si="4"/>
        <v>4.6967999999999996</v>
      </c>
      <c r="J105" t="str">
        <f t="shared" si="5"/>
        <v>Positive</v>
      </c>
    </row>
    <row r="106" spans="1:10" x14ac:dyDescent="0.3">
      <c r="A106" s="2">
        <v>45970</v>
      </c>
      <c r="B106" t="s">
        <v>12</v>
      </c>
      <c r="C106" t="s">
        <v>6</v>
      </c>
      <c r="D106">
        <v>10194.69</v>
      </c>
      <c r="E106">
        <v>131</v>
      </c>
      <c r="F106">
        <v>45</v>
      </c>
      <c r="G106">
        <v>150165</v>
      </c>
      <c r="H106" s="7">
        <f t="shared" si="3"/>
        <v>34.351100000000002</v>
      </c>
      <c r="I106">
        <f t="shared" si="4"/>
        <v>13.729699999999999</v>
      </c>
      <c r="J106" t="str">
        <f t="shared" si="5"/>
        <v>Positive</v>
      </c>
    </row>
    <row r="107" spans="1:10" x14ac:dyDescent="0.3">
      <c r="A107" s="2">
        <v>46008</v>
      </c>
      <c r="B107" t="s">
        <v>13</v>
      </c>
      <c r="C107" t="s">
        <v>8</v>
      </c>
      <c r="D107">
        <v>6420.93</v>
      </c>
      <c r="E107">
        <v>176</v>
      </c>
      <c r="F107">
        <v>58</v>
      </c>
      <c r="G107">
        <v>58564.51</v>
      </c>
      <c r="H107" s="7">
        <f t="shared" si="3"/>
        <v>32.954500000000003</v>
      </c>
      <c r="I107">
        <f t="shared" si="4"/>
        <v>8.1209000000000007</v>
      </c>
      <c r="J107" t="str">
        <f t="shared" si="5"/>
        <v>Positive</v>
      </c>
    </row>
    <row r="108" spans="1:10" x14ac:dyDescent="0.3">
      <c r="A108" s="2">
        <v>45762</v>
      </c>
      <c r="B108" t="s">
        <v>13</v>
      </c>
      <c r="C108" t="s">
        <v>9</v>
      </c>
      <c r="D108">
        <v>9130.8700000000008</v>
      </c>
      <c r="E108">
        <v>114</v>
      </c>
      <c r="F108">
        <v>8</v>
      </c>
      <c r="G108">
        <v>32104.06</v>
      </c>
      <c r="H108" s="7">
        <f t="shared" si="3"/>
        <v>7.0175000000000001</v>
      </c>
      <c r="I108">
        <f t="shared" si="4"/>
        <v>2.516</v>
      </c>
      <c r="J108" t="str">
        <f t="shared" si="5"/>
        <v>Positive</v>
      </c>
    </row>
    <row r="109" spans="1:10" x14ac:dyDescent="0.3">
      <c r="A109" s="2">
        <v>45702</v>
      </c>
      <c r="B109" t="s">
        <v>12</v>
      </c>
      <c r="C109" t="s">
        <v>11</v>
      </c>
      <c r="D109">
        <v>10289</v>
      </c>
      <c r="E109">
        <v>111</v>
      </c>
      <c r="F109">
        <v>40</v>
      </c>
      <c r="G109">
        <v>212776.22</v>
      </c>
      <c r="H109" s="7">
        <f t="shared" si="3"/>
        <v>36.036000000000001</v>
      </c>
      <c r="I109">
        <f t="shared" si="4"/>
        <v>19.68</v>
      </c>
      <c r="J109" t="str">
        <f t="shared" si="5"/>
        <v>Positive</v>
      </c>
    </row>
    <row r="110" spans="1:10" x14ac:dyDescent="0.3">
      <c r="A110" s="2">
        <v>45838</v>
      </c>
      <c r="B110" t="s">
        <v>12</v>
      </c>
      <c r="C110" t="s">
        <v>14</v>
      </c>
      <c r="D110">
        <v>13802.67</v>
      </c>
      <c r="E110">
        <v>215</v>
      </c>
      <c r="F110">
        <v>38</v>
      </c>
      <c r="G110">
        <v>114706.14</v>
      </c>
      <c r="H110" s="7">
        <f t="shared" si="3"/>
        <v>17.674399999999999</v>
      </c>
      <c r="I110">
        <f t="shared" si="4"/>
        <v>7.3103999999999996</v>
      </c>
      <c r="J110" t="str">
        <f t="shared" si="5"/>
        <v>Positive</v>
      </c>
    </row>
    <row r="111" spans="1:10" x14ac:dyDescent="0.3">
      <c r="A111" s="2">
        <v>45774</v>
      </c>
      <c r="B111" t="s">
        <v>13</v>
      </c>
      <c r="C111" t="s">
        <v>9</v>
      </c>
      <c r="D111">
        <v>4932.54</v>
      </c>
      <c r="E111">
        <v>190</v>
      </c>
      <c r="F111">
        <v>46</v>
      </c>
      <c r="G111">
        <v>148087.6</v>
      </c>
      <c r="H111" s="7">
        <f t="shared" si="3"/>
        <v>24.2105</v>
      </c>
      <c r="I111">
        <f t="shared" si="4"/>
        <v>29.022600000000001</v>
      </c>
      <c r="J111" t="str">
        <f t="shared" si="5"/>
        <v>Positive</v>
      </c>
    </row>
    <row r="112" spans="1:10" x14ac:dyDescent="0.3">
      <c r="A112" s="2">
        <v>45868</v>
      </c>
      <c r="B112" t="s">
        <v>5</v>
      </c>
      <c r="C112" t="s">
        <v>14</v>
      </c>
      <c r="D112">
        <v>8976.76</v>
      </c>
      <c r="E112">
        <v>191</v>
      </c>
      <c r="F112">
        <v>66</v>
      </c>
      <c r="G112">
        <v>165831.65</v>
      </c>
      <c r="H112" s="7">
        <f t="shared" si="3"/>
        <v>34.555</v>
      </c>
      <c r="I112">
        <f t="shared" si="4"/>
        <v>17.473400000000002</v>
      </c>
      <c r="J112" t="str">
        <f t="shared" si="5"/>
        <v>Positive</v>
      </c>
    </row>
    <row r="113" spans="1:10" x14ac:dyDescent="0.3">
      <c r="A113" s="2">
        <v>45914</v>
      </c>
      <c r="B113" t="s">
        <v>5</v>
      </c>
      <c r="C113" t="s">
        <v>8</v>
      </c>
      <c r="D113">
        <v>2810.05</v>
      </c>
      <c r="E113">
        <v>73</v>
      </c>
      <c r="F113">
        <v>5</v>
      </c>
      <c r="G113">
        <v>12773.4</v>
      </c>
      <c r="H113" s="7">
        <f t="shared" si="3"/>
        <v>6.8493000000000004</v>
      </c>
      <c r="I113">
        <f t="shared" si="4"/>
        <v>3.5455999999999999</v>
      </c>
      <c r="J113" t="str">
        <f t="shared" si="5"/>
        <v>Positive</v>
      </c>
    </row>
    <row r="114" spans="1:10" x14ac:dyDescent="0.3">
      <c r="A114" s="2">
        <v>45855</v>
      </c>
      <c r="B114" t="s">
        <v>7</v>
      </c>
      <c r="C114" t="s">
        <v>8</v>
      </c>
      <c r="D114">
        <v>6029.59</v>
      </c>
      <c r="E114">
        <v>165</v>
      </c>
      <c r="F114">
        <v>1</v>
      </c>
      <c r="G114">
        <v>2685.68</v>
      </c>
      <c r="H114" s="7">
        <f t="shared" si="3"/>
        <v>0.60609999999999997</v>
      </c>
      <c r="I114">
        <f t="shared" si="4"/>
        <v>-0.55459999999999998</v>
      </c>
      <c r="J114" t="str">
        <f t="shared" si="5"/>
        <v>Negative</v>
      </c>
    </row>
    <row r="115" spans="1:10" x14ac:dyDescent="0.3">
      <c r="A115" s="2">
        <v>45938</v>
      </c>
      <c r="B115" t="s">
        <v>5</v>
      </c>
      <c r="C115" t="s">
        <v>11</v>
      </c>
      <c r="D115">
        <v>2963.81</v>
      </c>
      <c r="E115">
        <v>245</v>
      </c>
      <c r="F115">
        <v>92</v>
      </c>
      <c r="G115">
        <v>442336.97</v>
      </c>
      <c r="H115" s="7">
        <f t="shared" si="3"/>
        <v>37.551000000000002</v>
      </c>
      <c r="I115">
        <f t="shared" si="4"/>
        <v>148.24610000000001</v>
      </c>
      <c r="J115" t="str">
        <f t="shared" si="5"/>
        <v>Positive</v>
      </c>
    </row>
    <row r="116" spans="1:10" x14ac:dyDescent="0.3">
      <c r="A116" s="2">
        <v>45693</v>
      </c>
      <c r="B116" t="s">
        <v>5</v>
      </c>
      <c r="C116" t="s">
        <v>11</v>
      </c>
      <c r="D116">
        <v>7919.1</v>
      </c>
      <c r="E116">
        <v>69</v>
      </c>
      <c r="F116">
        <v>27</v>
      </c>
      <c r="G116">
        <v>131886.62</v>
      </c>
      <c r="H116" s="7">
        <f t="shared" si="3"/>
        <v>39.130400000000002</v>
      </c>
      <c r="I116">
        <f t="shared" si="4"/>
        <v>15.654199999999999</v>
      </c>
      <c r="J116" t="str">
        <f t="shared" si="5"/>
        <v>Positive</v>
      </c>
    </row>
    <row r="117" spans="1:10" x14ac:dyDescent="0.3">
      <c r="A117" s="2">
        <v>45765</v>
      </c>
      <c r="B117" t="s">
        <v>7</v>
      </c>
      <c r="C117" t="s">
        <v>11</v>
      </c>
      <c r="D117">
        <v>8273.91</v>
      </c>
      <c r="E117">
        <v>36</v>
      </c>
      <c r="F117">
        <v>14</v>
      </c>
      <c r="G117">
        <v>65814.48</v>
      </c>
      <c r="H117" s="7">
        <f t="shared" si="3"/>
        <v>38.8889</v>
      </c>
      <c r="I117">
        <f t="shared" si="4"/>
        <v>6.9545000000000003</v>
      </c>
      <c r="J117" t="str">
        <f t="shared" si="5"/>
        <v>Positive</v>
      </c>
    </row>
    <row r="118" spans="1:10" x14ac:dyDescent="0.3">
      <c r="A118" s="2">
        <v>45729</v>
      </c>
      <c r="B118" t="s">
        <v>7</v>
      </c>
      <c r="C118" t="s">
        <v>6</v>
      </c>
      <c r="D118">
        <v>4912.0200000000004</v>
      </c>
      <c r="E118">
        <v>25</v>
      </c>
      <c r="F118">
        <v>4</v>
      </c>
      <c r="G118">
        <v>21268.75</v>
      </c>
      <c r="H118" s="7">
        <f t="shared" si="3"/>
        <v>16</v>
      </c>
      <c r="I118">
        <f t="shared" si="4"/>
        <v>3.3298999999999999</v>
      </c>
      <c r="J118" t="str">
        <f t="shared" si="5"/>
        <v>Positive</v>
      </c>
    </row>
    <row r="119" spans="1:10" x14ac:dyDescent="0.3">
      <c r="A119" s="2">
        <v>45970</v>
      </c>
      <c r="B119" t="s">
        <v>7</v>
      </c>
      <c r="C119" t="s">
        <v>8</v>
      </c>
      <c r="D119">
        <v>5448.53</v>
      </c>
      <c r="E119">
        <v>146</v>
      </c>
      <c r="F119">
        <v>36</v>
      </c>
      <c r="G119">
        <v>85060.81</v>
      </c>
      <c r="H119" s="7">
        <f t="shared" si="3"/>
        <v>24.657499999999999</v>
      </c>
      <c r="I119">
        <f t="shared" si="4"/>
        <v>14.611700000000001</v>
      </c>
      <c r="J119" t="str">
        <f t="shared" si="5"/>
        <v>Positive</v>
      </c>
    </row>
    <row r="120" spans="1:10" x14ac:dyDescent="0.3">
      <c r="A120" s="2">
        <v>45825</v>
      </c>
      <c r="B120" t="s">
        <v>13</v>
      </c>
      <c r="C120" t="s">
        <v>11</v>
      </c>
      <c r="D120">
        <v>11118.95</v>
      </c>
      <c r="E120">
        <v>174</v>
      </c>
      <c r="F120">
        <v>33</v>
      </c>
      <c r="G120">
        <v>108283.1</v>
      </c>
      <c r="H120" s="7">
        <f t="shared" si="3"/>
        <v>18.965499999999999</v>
      </c>
      <c r="I120">
        <f t="shared" si="4"/>
        <v>8.7385999999999999</v>
      </c>
      <c r="J120" t="str">
        <f t="shared" si="5"/>
        <v>Positive</v>
      </c>
    </row>
    <row r="121" spans="1:10" x14ac:dyDescent="0.3">
      <c r="A121" s="2">
        <v>45895</v>
      </c>
      <c r="B121" t="s">
        <v>12</v>
      </c>
      <c r="C121" t="s">
        <v>6</v>
      </c>
      <c r="D121">
        <v>11838.56</v>
      </c>
      <c r="E121">
        <v>126</v>
      </c>
      <c r="F121">
        <v>2</v>
      </c>
      <c r="G121">
        <v>3993.41</v>
      </c>
      <c r="H121" s="7">
        <f t="shared" si="3"/>
        <v>1.5872999999999999</v>
      </c>
      <c r="I121">
        <f t="shared" si="4"/>
        <v>-0.66269999999999996</v>
      </c>
      <c r="J121" t="str">
        <f t="shared" si="5"/>
        <v>Negative</v>
      </c>
    </row>
    <row r="122" spans="1:10" x14ac:dyDescent="0.3">
      <c r="A122" s="2">
        <v>45862</v>
      </c>
      <c r="B122" t="s">
        <v>12</v>
      </c>
      <c r="C122" t="s">
        <v>6</v>
      </c>
      <c r="D122">
        <v>2418.38</v>
      </c>
      <c r="E122">
        <v>133</v>
      </c>
      <c r="F122">
        <v>3</v>
      </c>
      <c r="G122">
        <v>12748.65</v>
      </c>
      <c r="H122" s="7">
        <f t="shared" si="3"/>
        <v>2.2555999999999998</v>
      </c>
      <c r="I122">
        <f t="shared" si="4"/>
        <v>4.2716000000000003</v>
      </c>
      <c r="J122" t="str">
        <f t="shared" si="5"/>
        <v>Positive</v>
      </c>
    </row>
    <row r="123" spans="1:10" x14ac:dyDescent="0.3">
      <c r="A123" s="2">
        <v>45883</v>
      </c>
      <c r="B123" t="s">
        <v>13</v>
      </c>
      <c r="C123" t="s">
        <v>9</v>
      </c>
      <c r="D123">
        <v>6537.48</v>
      </c>
      <c r="E123">
        <v>186</v>
      </c>
      <c r="F123">
        <v>33</v>
      </c>
      <c r="G123">
        <v>170586.09</v>
      </c>
      <c r="H123" s="7">
        <f t="shared" si="3"/>
        <v>17.741900000000001</v>
      </c>
      <c r="I123">
        <f t="shared" si="4"/>
        <v>25.093599999999999</v>
      </c>
      <c r="J123" t="str">
        <f t="shared" si="5"/>
        <v>Positive</v>
      </c>
    </row>
    <row r="124" spans="1:10" x14ac:dyDescent="0.3">
      <c r="A124" s="2">
        <v>45708</v>
      </c>
      <c r="B124" t="s">
        <v>12</v>
      </c>
      <c r="C124" t="s">
        <v>14</v>
      </c>
      <c r="D124">
        <v>5633.45</v>
      </c>
      <c r="E124">
        <v>176</v>
      </c>
      <c r="F124">
        <v>29</v>
      </c>
      <c r="G124">
        <v>107475.26</v>
      </c>
      <c r="H124" s="7">
        <f t="shared" si="3"/>
        <v>16.4773</v>
      </c>
      <c r="I124">
        <f t="shared" si="4"/>
        <v>18.078099999999999</v>
      </c>
      <c r="J124" t="str">
        <f t="shared" si="5"/>
        <v>Positive</v>
      </c>
    </row>
    <row r="125" spans="1:10" x14ac:dyDescent="0.3">
      <c r="A125" s="2">
        <v>45936</v>
      </c>
      <c r="B125" t="s">
        <v>12</v>
      </c>
      <c r="C125" t="s">
        <v>9</v>
      </c>
      <c r="D125">
        <v>1906.44</v>
      </c>
      <c r="E125">
        <v>155</v>
      </c>
      <c r="F125">
        <v>62</v>
      </c>
      <c r="G125">
        <v>69266.98</v>
      </c>
      <c r="H125" s="7">
        <f t="shared" si="3"/>
        <v>40</v>
      </c>
      <c r="I125">
        <f t="shared" si="4"/>
        <v>35.333199999999998</v>
      </c>
      <c r="J125" t="str">
        <f t="shared" si="5"/>
        <v>Positive</v>
      </c>
    </row>
    <row r="126" spans="1:10" x14ac:dyDescent="0.3">
      <c r="A126" s="2">
        <v>45906</v>
      </c>
      <c r="B126" t="s">
        <v>7</v>
      </c>
      <c r="C126" t="s">
        <v>9</v>
      </c>
      <c r="D126">
        <v>7229.71</v>
      </c>
      <c r="E126">
        <v>42</v>
      </c>
      <c r="F126">
        <v>16</v>
      </c>
      <c r="G126">
        <v>17435.169999999998</v>
      </c>
      <c r="H126" s="7">
        <f t="shared" si="3"/>
        <v>38.095199999999998</v>
      </c>
      <c r="I126">
        <f t="shared" si="4"/>
        <v>1.4116</v>
      </c>
      <c r="J126" t="str">
        <f t="shared" si="5"/>
        <v>Positive</v>
      </c>
    </row>
    <row r="127" spans="1:10" x14ac:dyDescent="0.3">
      <c r="A127" s="2">
        <v>45962</v>
      </c>
      <c r="B127" t="s">
        <v>10</v>
      </c>
      <c r="C127" t="s">
        <v>9</v>
      </c>
      <c r="D127">
        <v>10857.12</v>
      </c>
      <c r="E127">
        <v>104</v>
      </c>
      <c r="F127">
        <v>29</v>
      </c>
      <c r="G127">
        <v>148130.95000000001</v>
      </c>
      <c r="H127" s="7">
        <f t="shared" si="3"/>
        <v>27.884599999999999</v>
      </c>
      <c r="I127">
        <f t="shared" si="4"/>
        <v>12.643700000000001</v>
      </c>
      <c r="J127" t="str">
        <f t="shared" si="5"/>
        <v>Positive</v>
      </c>
    </row>
    <row r="128" spans="1:10" x14ac:dyDescent="0.3">
      <c r="A128" s="2">
        <v>45763</v>
      </c>
      <c r="B128" t="s">
        <v>13</v>
      </c>
      <c r="C128" t="s">
        <v>14</v>
      </c>
      <c r="D128">
        <v>10278.450000000001</v>
      </c>
      <c r="E128">
        <v>45</v>
      </c>
      <c r="F128">
        <v>7</v>
      </c>
      <c r="G128">
        <v>12581.99</v>
      </c>
      <c r="H128" s="7">
        <f t="shared" si="3"/>
        <v>15.5556</v>
      </c>
      <c r="I128">
        <f t="shared" si="4"/>
        <v>0.22409999999999999</v>
      </c>
      <c r="J128" t="str">
        <f t="shared" si="5"/>
        <v>Positive</v>
      </c>
    </row>
    <row r="129" spans="1:10" x14ac:dyDescent="0.3">
      <c r="A129" s="2">
        <v>45913</v>
      </c>
      <c r="B129" t="s">
        <v>5</v>
      </c>
      <c r="C129" t="s">
        <v>6</v>
      </c>
      <c r="D129">
        <v>7527.48</v>
      </c>
      <c r="E129">
        <v>76</v>
      </c>
      <c r="F129">
        <v>24</v>
      </c>
      <c r="G129">
        <v>130466.41</v>
      </c>
      <c r="H129" s="7">
        <f t="shared" si="3"/>
        <v>31.578900000000001</v>
      </c>
      <c r="I129">
        <f t="shared" si="4"/>
        <v>16.332000000000001</v>
      </c>
      <c r="J129" t="str">
        <f t="shared" si="5"/>
        <v>Positive</v>
      </c>
    </row>
    <row r="130" spans="1:10" x14ac:dyDescent="0.3">
      <c r="A130" s="2">
        <v>45999</v>
      </c>
      <c r="B130" t="s">
        <v>13</v>
      </c>
      <c r="C130" t="s">
        <v>9</v>
      </c>
      <c r="D130">
        <v>6834.08</v>
      </c>
      <c r="E130">
        <v>227</v>
      </c>
      <c r="F130">
        <v>18</v>
      </c>
      <c r="G130">
        <v>95744.67</v>
      </c>
      <c r="H130" s="7">
        <f t="shared" ref="H130:H193" si="6">ROUND((F130/E130)*100,4)</f>
        <v>7.9295</v>
      </c>
      <c r="I130">
        <f t="shared" ref="I130:I193" si="7">ROUND(((G130-D130)/D130),4)</f>
        <v>13.0099</v>
      </c>
      <c r="J130" t="str">
        <f t="shared" si="5"/>
        <v>Positive</v>
      </c>
    </row>
    <row r="131" spans="1:10" x14ac:dyDescent="0.3">
      <c r="A131" s="2">
        <v>45685</v>
      </c>
      <c r="B131" t="s">
        <v>12</v>
      </c>
      <c r="C131" t="s">
        <v>6</v>
      </c>
      <c r="D131">
        <v>7888.22</v>
      </c>
      <c r="E131">
        <v>235</v>
      </c>
      <c r="F131">
        <v>74</v>
      </c>
      <c r="G131">
        <v>361964.53</v>
      </c>
      <c r="H131" s="7">
        <f t="shared" si="6"/>
        <v>31.4894</v>
      </c>
      <c r="I131">
        <f t="shared" si="7"/>
        <v>44.886699999999998</v>
      </c>
      <c r="J131" t="str">
        <f t="shared" ref="J131:J194" si="8">IF(I131&gt;0,"Positive","Negative")</f>
        <v>Positive</v>
      </c>
    </row>
    <row r="132" spans="1:10" x14ac:dyDescent="0.3">
      <c r="A132" s="2">
        <v>45882</v>
      </c>
      <c r="B132" t="s">
        <v>7</v>
      </c>
      <c r="C132" t="s">
        <v>8</v>
      </c>
      <c r="D132">
        <v>8840.42</v>
      </c>
      <c r="E132">
        <v>102</v>
      </c>
      <c r="F132">
        <v>10</v>
      </c>
      <c r="G132">
        <v>58501.86</v>
      </c>
      <c r="H132" s="7">
        <f t="shared" si="6"/>
        <v>9.8039000000000005</v>
      </c>
      <c r="I132">
        <f t="shared" si="7"/>
        <v>5.6174999999999997</v>
      </c>
      <c r="J132" t="str">
        <f t="shared" si="8"/>
        <v>Positive</v>
      </c>
    </row>
    <row r="133" spans="1:10" x14ac:dyDescent="0.3">
      <c r="A133" s="2">
        <v>45870</v>
      </c>
      <c r="B133" t="s">
        <v>5</v>
      </c>
      <c r="C133" t="s">
        <v>11</v>
      </c>
      <c r="D133">
        <v>2619.08</v>
      </c>
      <c r="E133">
        <v>94</v>
      </c>
      <c r="F133">
        <v>26</v>
      </c>
      <c r="G133">
        <v>140048.79999999999</v>
      </c>
      <c r="H133" s="7">
        <f t="shared" si="6"/>
        <v>27.659600000000001</v>
      </c>
      <c r="I133">
        <f t="shared" si="7"/>
        <v>52.472499999999997</v>
      </c>
      <c r="J133" t="str">
        <f t="shared" si="8"/>
        <v>Positive</v>
      </c>
    </row>
    <row r="134" spans="1:10" x14ac:dyDescent="0.3">
      <c r="A134" s="2">
        <v>45883</v>
      </c>
      <c r="B134" t="s">
        <v>13</v>
      </c>
      <c r="C134" t="s">
        <v>9</v>
      </c>
      <c r="D134">
        <v>10934.19</v>
      </c>
      <c r="E134">
        <v>95</v>
      </c>
      <c r="F134">
        <v>33</v>
      </c>
      <c r="G134">
        <v>47455.48</v>
      </c>
      <c r="H134" s="7">
        <f t="shared" si="6"/>
        <v>34.736800000000002</v>
      </c>
      <c r="I134">
        <f t="shared" si="7"/>
        <v>3.3401000000000001</v>
      </c>
      <c r="J134" t="str">
        <f t="shared" si="8"/>
        <v>Positive</v>
      </c>
    </row>
    <row r="135" spans="1:10" x14ac:dyDescent="0.3">
      <c r="A135" s="2">
        <v>45963</v>
      </c>
      <c r="B135" t="s">
        <v>10</v>
      </c>
      <c r="C135" t="s">
        <v>8</v>
      </c>
      <c r="D135">
        <v>9055.31</v>
      </c>
      <c r="E135">
        <v>191</v>
      </c>
      <c r="F135">
        <v>66</v>
      </c>
      <c r="G135">
        <v>365965.99</v>
      </c>
      <c r="H135" s="7">
        <f t="shared" si="6"/>
        <v>34.555</v>
      </c>
      <c r="I135">
        <f t="shared" si="7"/>
        <v>39.414499999999997</v>
      </c>
      <c r="J135" t="str">
        <f t="shared" si="8"/>
        <v>Positive</v>
      </c>
    </row>
    <row r="136" spans="1:10" x14ac:dyDescent="0.3">
      <c r="A136" s="2">
        <v>45673</v>
      </c>
      <c r="B136" t="s">
        <v>13</v>
      </c>
      <c r="C136" t="s">
        <v>8</v>
      </c>
      <c r="D136">
        <v>6763.9</v>
      </c>
      <c r="E136">
        <v>25</v>
      </c>
      <c r="F136">
        <v>7</v>
      </c>
      <c r="G136">
        <v>23618.67</v>
      </c>
      <c r="H136" s="7">
        <f t="shared" si="6"/>
        <v>28</v>
      </c>
      <c r="I136">
        <f t="shared" si="7"/>
        <v>2.4918999999999998</v>
      </c>
      <c r="J136" t="str">
        <f t="shared" si="8"/>
        <v>Positive</v>
      </c>
    </row>
    <row r="137" spans="1:10" x14ac:dyDescent="0.3">
      <c r="A137" s="2">
        <v>45946</v>
      </c>
      <c r="B137" t="s">
        <v>12</v>
      </c>
      <c r="C137" t="s">
        <v>14</v>
      </c>
      <c r="D137">
        <v>5077.18</v>
      </c>
      <c r="E137">
        <v>49</v>
      </c>
      <c r="F137">
        <v>12</v>
      </c>
      <c r="G137">
        <v>70553.919999999998</v>
      </c>
      <c r="H137" s="7">
        <f t="shared" si="6"/>
        <v>24.489799999999999</v>
      </c>
      <c r="I137">
        <f t="shared" si="7"/>
        <v>12.8963</v>
      </c>
      <c r="J137" t="str">
        <f t="shared" si="8"/>
        <v>Positive</v>
      </c>
    </row>
    <row r="138" spans="1:10" x14ac:dyDescent="0.3">
      <c r="A138" s="2">
        <v>45664</v>
      </c>
      <c r="B138" t="s">
        <v>5</v>
      </c>
      <c r="C138" t="s">
        <v>6</v>
      </c>
      <c r="D138">
        <v>5031.6400000000003</v>
      </c>
      <c r="E138">
        <v>140</v>
      </c>
      <c r="F138">
        <v>42</v>
      </c>
      <c r="G138">
        <v>225669.7</v>
      </c>
      <c r="H138" s="7">
        <f t="shared" si="6"/>
        <v>30</v>
      </c>
      <c r="I138">
        <f t="shared" si="7"/>
        <v>43.850099999999998</v>
      </c>
      <c r="J138" t="str">
        <f t="shared" si="8"/>
        <v>Positive</v>
      </c>
    </row>
    <row r="139" spans="1:10" x14ac:dyDescent="0.3">
      <c r="A139" s="2">
        <v>45872</v>
      </c>
      <c r="B139" t="s">
        <v>5</v>
      </c>
      <c r="C139" t="s">
        <v>8</v>
      </c>
      <c r="D139">
        <v>2569.9499999999998</v>
      </c>
      <c r="E139">
        <v>39</v>
      </c>
      <c r="F139">
        <v>15</v>
      </c>
      <c r="G139">
        <v>86810.54</v>
      </c>
      <c r="H139" s="7">
        <f t="shared" si="6"/>
        <v>38.461500000000001</v>
      </c>
      <c r="I139">
        <f t="shared" si="7"/>
        <v>32.7791</v>
      </c>
      <c r="J139" t="str">
        <f t="shared" si="8"/>
        <v>Positive</v>
      </c>
    </row>
    <row r="140" spans="1:10" x14ac:dyDescent="0.3">
      <c r="A140" s="2">
        <v>45830</v>
      </c>
      <c r="B140" t="s">
        <v>5</v>
      </c>
      <c r="C140" t="s">
        <v>14</v>
      </c>
      <c r="D140">
        <v>11582.88</v>
      </c>
      <c r="E140">
        <v>186</v>
      </c>
      <c r="F140">
        <v>48</v>
      </c>
      <c r="G140">
        <v>65137.09</v>
      </c>
      <c r="H140" s="7">
        <f t="shared" si="6"/>
        <v>25.8065</v>
      </c>
      <c r="I140">
        <f t="shared" si="7"/>
        <v>4.6235999999999997</v>
      </c>
      <c r="J140" t="str">
        <f t="shared" si="8"/>
        <v>Positive</v>
      </c>
    </row>
    <row r="141" spans="1:10" x14ac:dyDescent="0.3">
      <c r="A141" s="2">
        <v>45884</v>
      </c>
      <c r="B141" t="s">
        <v>5</v>
      </c>
      <c r="C141" t="s">
        <v>14</v>
      </c>
      <c r="D141">
        <v>1756.7</v>
      </c>
      <c r="E141">
        <v>68</v>
      </c>
      <c r="F141">
        <v>9</v>
      </c>
      <c r="G141">
        <v>43344.68</v>
      </c>
      <c r="H141" s="7">
        <f t="shared" si="6"/>
        <v>13.235300000000001</v>
      </c>
      <c r="I141">
        <f t="shared" si="7"/>
        <v>23.6739</v>
      </c>
      <c r="J141" t="str">
        <f t="shared" si="8"/>
        <v>Positive</v>
      </c>
    </row>
    <row r="142" spans="1:10" x14ac:dyDescent="0.3">
      <c r="A142" s="2">
        <v>45872</v>
      </c>
      <c r="B142" t="s">
        <v>5</v>
      </c>
      <c r="C142" t="s">
        <v>14</v>
      </c>
      <c r="D142">
        <v>13577.58</v>
      </c>
      <c r="E142">
        <v>230</v>
      </c>
      <c r="F142">
        <v>18</v>
      </c>
      <c r="G142">
        <v>65859.56</v>
      </c>
      <c r="H142" s="7">
        <f t="shared" si="6"/>
        <v>7.8261000000000003</v>
      </c>
      <c r="I142">
        <f t="shared" si="7"/>
        <v>3.8506</v>
      </c>
      <c r="J142" t="str">
        <f t="shared" si="8"/>
        <v>Positive</v>
      </c>
    </row>
    <row r="143" spans="1:10" x14ac:dyDescent="0.3">
      <c r="A143" s="2">
        <v>45674</v>
      </c>
      <c r="B143" t="s">
        <v>7</v>
      </c>
      <c r="C143" t="s">
        <v>9</v>
      </c>
      <c r="D143">
        <v>1005.56</v>
      </c>
      <c r="E143">
        <v>207</v>
      </c>
      <c r="F143">
        <v>40</v>
      </c>
      <c r="G143">
        <v>184052.62</v>
      </c>
      <c r="H143" s="7">
        <f t="shared" si="6"/>
        <v>19.323699999999999</v>
      </c>
      <c r="I143">
        <f t="shared" si="7"/>
        <v>182.03489999999999</v>
      </c>
      <c r="J143" t="str">
        <f t="shared" si="8"/>
        <v>Positive</v>
      </c>
    </row>
    <row r="144" spans="1:10" x14ac:dyDescent="0.3">
      <c r="A144" s="2">
        <v>45961</v>
      </c>
      <c r="B144" t="s">
        <v>12</v>
      </c>
      <c r="C144" t="s">
        <v>6</v>
      </c>
      <c r="D144">
        <v>5536.36</v>
      </c>
      <c r="E144">
        <v>122</v>
      </c>
      <c r="F144">
        <v>38</v>
      </c>
      <c r="G144">
        <v>130229.67</v>
      </c>
      <c r="H144" s="7">
        <f t="shared" si="6"/>
        <v>31.147500000000001</v>
      </c>
      <c r="I144">
        <f t="shared" si="7"/>
        <v>22.522600000000001</v>
      </c>
      <c r="J144" t="str">
        <f t="shared" si="8"/>
        <v>Positive</v>
      </c>
    </row>
    <row r="145" spans="1:10" x14ac:dyDescent="0.3">
      <c r="A145" s="2">
        <v>45703</v>
      </c>
      <c r="B145" t="s">
        <v>13</v>
      </c>
      <c r="C145" t="s">
        <v>9</v>
      </c>
      <c r="D145">
        <v>4576.4399999999996</v>
      </c>
      <c r="E145">
        <v>175</v>
      </c>
      <c r="F145">
        <v>53</v>
      </c>
      <c r="G145">
        <v>140480.04999999999</v>
      </c>
      <c r="H145" s="7">
        <f t="shared" si="6"/>
        <v>30.285699999999999</v>
      </c>
      <c r="I145">
        <f t="shared" si="7"/>
        <v>29.696400000000001</v>
      </c>
      <c r="J145" t="str">
        <f t="shared" si="8"/>
        <v>Positive</v>
      </c>
    </row>
    <row r="146" spans="1:10" x14ac:dyDescent="0.3">
      <c r="A146" s="2">
        <v>45716</v>
      </c>
      <c r="B146" t="s">
        <v>5</v>
      </c>
      <c r="C146" t="s">
        <v>6</v>
      </c>
      <c r="D146">
        <v>9983.58</v>
      </c>
      <c r="E146">
        <v>75</v>
      </c>
      <c r="F146">
        <v>23</v>
      </c>
      <c r="G146">
        <v>60612.43</v>
      </c>
      <c r="H146" s="7">
        <f t="shared" si="6"/>
        <v>30.666699999999999</v>
      </c>
      <c r="I146">
        <f t="shared" si="7"/>
        <v>5.0712000000000002</v>
      </c>
      <c r="J146" t="str">
        <f t="shared" si="8"/>
        <v>Positive</v>
      </c>
    </row>
    <row r="147" spans="1:10" x14ac:dyDescent="0.3">
      <c r="A147" s="2">
        <v>45863</v>
      </c>
      <c r="B147" t="s">
        <v>13</v>
      </c>
      <c r="C147" t="s">
        <v>6</v>
      </c>
      <c r="D147">
        <v>8144.61</v>
      </c>
      <c r="E147">
        <v>116</v>
      </c>
      <c r="F147">
        <v>46</v>
      </c>
      <c r="G147">
        <v>258891.97</v>
      </c>
      <c r="H147" s="7">
        <f t="shared" si="6"/>
        <v>39.655200000000001</v>
      </c>
      <c r="I147">
        <f t="shared" si="7"/>
        <v>30.786899999999999</v>
      </c>
      <c r="J147" t="str">
        <f t="shared" si="8"/>
        <v>Positive</v>
      </c>
    </row>
    <row r="148" spans="1:10" x14ac:dyDescent="0.3">
      <c r="A148" s="2">
        <v>45843</v>
      </c>
      <c r="B148" t="s">
        <v>12</v>
      </c>
      <c r="C148" t="s">
        <v>6</v>
      </c>
      <c r="D148">
        <v>12437.82</v>
      </c>
      <c r="E148">
        <v>241</v>
      </c>
      <c r="F148">
        <v>6</v>
      </c>
      <c r="G148">
        <v>10992.91</v>
      </c>
      <c r="H148" s="7">
        <f t="shared" si="6"/>
        <v>2.4895999999999998</v>
      </c>
      <c r="I148">
        <f t="shared" si="7"/>
        <v>-0.1162</v>
      </c>
      <c r="J148" t="str">
        <f t="shared" si="8"/>
        <v>Negative</v>
      </c>
    </row>
    <row r="149" spans="1:10" x14ac:dyDescent="0.3">
      <c r="A149" s="2">
        <v>45916</v>
      </c>
      <c r="B149" t="s">
        <v>12</v>
      </c>
      <c r="C149" t="s">
        <v>11</v>
      </c>
      <c r="D149">
        <v>13408.12</v>
      </c>
      <c r="E149">
        <v>179</v>
      </c>
      <c r="F149">
        <v>27</v>
      </c>
      <c r="G149">
        <v>77940.679999999993</v>
      </c>
      <c r="H149" s="7">
        <f t="shared" si="6"/>
        <v>15.0838</v>
      </c>
      <c r="I149">
        <f t="shared" si="7"/>
        <v>4.8129</v>
      </c>
      <c r="J149" t="str">
        <f t="shared" si="8"/>
        <v>Positive</v>
      </c>
    </row>
    <row r="150" spans="1:10" x14ac:dyDescent="0.3">
      <c r="A150" s="2">
        <v>45760</v>
      </c>
      <c r="B150" t="s">
        <v>5</v>
      </c>
      <c r="C150" t="s">
        <v>6</v>
      </c>
      <c r="D150">
        <v>11130.29</v>
      </c>
      <c r="E150">
        <v>34</v>
      </c>
      <c r="F150">
        <v>6</v>
      </c>
      <c r="G150">
        <v>27092.98</v>
      </c>
      <c r="H150" s="7">
        <f t="shared" si="6"/>
        <v>17.647099999999998</v>
      </c>
      <c r="I150">
        <f t="shared" si="7"/>
        <v>1.4341999999999999</v>
      </c>
      <c r="J150" t="str">
        <f t="shared" si="8"/>
        <v>Positive</v>
      </c>
    </row>
    <row r="151" spans="1:10" x14ac:dyDescent="0.3">
      <c r="A151" s="2">
        <v>45769</v>
      </c>
      <c r="B151" t="s">
        <v>13</v>
      </c>
      <c r="C151" t="s">
        <v>14</v>
      </c>
      <c r="D151">
        <v>8975.91</v>
      </c>
      <c r="E151">
        <v>243</v>
      </c>
      <c r="F151">
        <v>67</v>
      </c>
      <c r="G151">
        <v>321630.92</v>
      </c>
      <c r="H151" s="7">
        <f t="shared" si="6"/>
        <v>27.571999999999999</v>
      </c>
      <c r="I151">
        <f t="shared" si="7"/>
        <v>34.832700000000003</v>
      </c>
      <c r="J151" t="str">
        <f t="shared" si="8"/>
        <v>Positive</v>
      </c>
    </row>
    <row r="152" spans="1:10" x14ac:dyDescent="0.3">
      <c r="A152" s="2">
        <v>45875</v>
      </c>
      <c r="B152" t="s">
        <v>5</v>
      </c>
      <c r="C152" t="s">
        <v>6</v>
      </c>
      <c r="D152">
        <v>14549.92</v>
      </c>
      <c r="E152">
        <v>80</v>
      </c>
      <c r="F152">
        <v>2</v>
      </c>
      <c r="G152">
        <v>11783.49</v>
      </c>
      <c r="H152" s="7">
        <f t="shared" si="6"/>
        <v>2.5</v>
      </c>
      <c r="I152">
        <f t="shared" si="7"/>
        <v>-0.19009999999999999</v>
      </c>
      <c r="J152" t="str">
        <f t="shared" si="8"/>
        <v>Negative</v>
      </c>
    </row>
    <row r="153" spans="1:10" x14ac:dyDescent="0.3">
      <c r="A153" s="2">
        <v>45986</v>
      </c>
      <c r="B153" t="s">
        <v>12</v>
      </c>
      <c r="C153" t="s">
        <v>14</v>
      </c>
      <c r="D153">
        <v>1693.28</v>
      </c>
      <c r="E153">
        <v>163</v>
      </c>
      <c r="F153">
        <v>15</v>
      </c>
      <c r="G153">
        <v>44426.77</v>
      </c>
      <c r="H153" s="7">
        <f t="shared" si="6"/>
        <v>9.2025000000000006</v>
      </c>
      <c r="I153">
        <f t="shared" si="7"/>
        <v>25.237100000000002</v>
      </c>
      <c r="J153" t="str">
        <f t="shared" si="8"/>
        <v>Positive</v>
      </c>
    </row>
    <row r="154" spans="1:10" x14ac:dyDescent="0.3">
      <c r="A154" s="2">
        <v>45672</v>
      </c>
      <c r="B154" t="s">
        <v>10</v>
      </c>
      <c r="C154" t="s">
        <v>14</v>
      </c>
      <c r="D154">
        <v>5342.25</v>
      </c>
      <c r="E154">
        <v>148</v>
      </c>
      <c r="F154">
        <v>20</v>
      </c>
      <c r="G154">
        <v>98073.39</v>
      </c>
      <c r="H154" s="7">
        <f t="shared" si="6"/>
        <v>13.513500000000001</v>
      </c>
      <c r="I154">
        <f t="shared" si="7"/>
        <v>17.3581</v>
      </c>
      <c r="J154" t="str">
        <f t="shared" si="8"/>
        <v>Positive</v>
      </c>
    </row>
    <row r="155" spans="1:10" x14ac:dyDescent="0.3">
      <c r="A155" s="2">
        <v>45663</v>
      </c>
      <c r="B155" t="s">
        <v>5</v>
      </c>
      <c r="C155" t="s">
        <v>9</v>
      </c>
      <c r="D155">
        <v>6181.95</v>
      </c>
      <c r="E155">
        <v>154</v>
      </c>
      <c r="F155">
        <v>39</v>
      </c>
      <c r="G155">
        <v>141030.88</v>
      </c>
      <c r="H155" s="7">
        <f t="shared" si="6"/>
        <v>25.3247</v>
      </c>
      <c r="I155">
        <f t="shared" si="7"/>
        <v>21.813300000000002</v>
      </c>
      <c r="J155" t="str">
        <f t="shared" si="8"/>
        <v>Positive</v>
      </c>
    </row>
    <row r="156" spans="1:10" x14ac:dyDescent="0.3">
      <c r="A156" s="2">
        <v>45802</v>
      </c>
      <c r="B156" t="s">
        <v>10</v>
      </c>
      <c r="C156" t="s">
        <v>8</v>
      </c>
      <c r="D156">
        <v>14447.33</v>
      </c>
      <c r="E156">
        <v>240</v>
      </c>
      <c r="F156">
        <v>46</v>
      </c>
      <c r="G156">
        <v>222815.75</v>
      </c>
      <c r="H156" s="7">
        <f t="shared" si="6"/>
        <v>19.166699999999999</v>
      </c>
      <c r="I156">
        <f t="shared" si="7"/>
        <v>14.422599999999999</v>
      </c>
      <c r="J156" t="str">
        <f t="shared" si="8"/>
        <v>Positive</v>
      </c>
    </row>
    <row r="157" spans="1:10" x14ac:dyDescent="0.3">
      <c r="A157" s="2">
        <v>45962</v>
      </c>
      <c r="B157" t="s">
        <v>13</v>
      </c>
      <c r="C157" t="s">
        <v>14</v>
      </c>
      <c r="D157">
        <v>7771.1</v>
      </c>
      <c r="E157">
        <v>24</v>
      </c>
      <c r="F157">
        <v>1</v>
      </c>
      <c r="G157">
        <v>1246.29</v>
      </c>
      <c r="H157" s="7">
        <f t="shared" si="6"/>
        <v>4.1666999999999996</v>
      </c>
      <c r="I157">
        <f t="shared" si="7"/>
        <v>-0.83960000000000001</v>
      </c>
      <c r="J157" t="str">
        <f t="shared" si="8"/>
        <v>Negative</v>
      </c>
    </row>
    <row r="158" spans="1:10" x14ac:dyDescent="0.3">
      <c r="A158" s="2">
        <v>45776</v>
      </c>
      <c r="B158" t="s">
        <v>5</v>
      </c>
      <c r="C158" t="s">
        <v>11</v>
      </c>
      <c r="D158">
        <v>7040.05</v>
      </c>
      <c r="E158">
        <v>97</v>
      </c>
      <c r="F158">
        <v>33</v>
      </c>
      <c r="G158">
        <v>36179.46</v>
      </c>
      <c r="H158" s="7">
        <f t="shared" si="6"/>
        <v>34.020600000000002</v>
      </c>
      <c r="I158">
        <f t="shared" si="7"/>
        <v>4.1391</v>
      </c>
      <c r="J158" t="str">
        <f t="shared" si="8"/>
        <v>Positive</v>
      </c>
    </row>
    <row r="159" spans="1:10" x14ac:dyDescent="0.3">
      <c r="A159" s="2">
        <v>45820</v>
      </c>
      <c r="B159" t="s">
        <v>12</v>
      </c>
      <c r="C159" t="s">
        <v>14</v>
      </c>
      <c r="D159">
        <v>2984.12</v>
      </c>
      <c r="E159">
        <v>47</v>
      </c>
      <c r="F159">
        <v>8</v>
      </c>
      <c r="G159">
        <v>30860.09</v>
      </c>
      <c r="H159" s="7">
        <f t="shared" si="6"/>
        <v>17.0213</v>
      </c>
      <c r="I159">
        <f t="shared" si="7"/>
        <v>9.3414000000000001</v>
      </c>
      <c r="J159" t="str">
        <f t="shared" si="8"/>
        <v>Positive</v>
      </c>
    </row>
    <row r="160" spans="1:10" x14ac:dyDescent="0.3">
      <c r="A160" s="2">
        <v>45659</v>
      </c>
      <c r="B160" t="s">
        <v>12</v>
      </c>
      <c r="C160" t="s">
        <v>6</v>
      </c>
      <c r="D160">
        <v>4733.3500000000004</v>
      </c>
      <c r="E160">
        <v>90</v>
      </c>
      <c r="F160">
        <v>8</v>
      </c>
      <c r="G160">
        <v>21092.78</v>
      </c>
      <c r="H160" s="7">
        <f t="shared" si="6"/>
        <v>8.8888999999999996</v>
      </c>
      <c r="I160">
        <f t="shared" si="7"/>
        <v>3.4561999999999999</v>
      </c>
      <c r="J160" t="str">
        <f t="shared" si="8"/>
        <v>Positive</v>
      </c>
    </row>
    <row r="161" spans="1:10" x14ac:dyDescent="0.3">
      <c r="A161" s="2">
        <v>45740</v>
      </c>
      <c r="B161" t="s">
        <v>12</v>
      </c>
      <c r="C161" t="s">
        <v>6</v>
      </c>
      <c r="D161">
        <v>12759.77</v>
      </c>
      <c r="E161">
        <v>234</v>
      </c>
      <c r="F161">
        <v>44</v>
      </c>
      <c r="G161">
        <v>133537.14000000001</v>
      </c>
      <c r="H161" s="7">
        <f t="shared" si="6"/>
        <v>18.8034</v>
      </c>
      <c r="I161">
        <f t="shared" si="7"/>
        <v>9.4655000000000005</v>
      </c>
      <c r="J161" t="str">
        <f t="shared" si="8"/>
        <v>Positive</v>
      </c>
    </row>
    <row r="162" spans="1:10" x14ac:dyDescent="0.3">
      <c r="A162" s="2">
        <v>45949</v>
      </c>
      <c r="B162" t="s">
        <v>7</v>
      </c>
      <c r="C162" t="s">
        <v>8</v>
      </c>
      <c r="D162">
        <v>11681.85</v>
      </c>
      <c r="E162">
        <v>135</v>
      </c>
      <c r="F162">
        <v>20</v>
      </c>
      <c r="G162">
        <v>113311.06</v>
      </c>
      <c r="H162" s="7">
        <f t="shared" si="6"/>
        <v>14.8148</v>
      </c>
      <c r="I162">
        <f t="shared" si="7"/>
        <v>8.6997999999999998</v>
      </c>
      <c r="J162" t="str">
        <f t="shared" si="8"/>
        <v>Positive</v>
      </c>
    </row>
    <row r="163" spans="1:10" x14ac:dyDescent="0.3">
      <c r="A163" s="2">
        <v>45940</v>
      </c>
      <c r="B163" t="s">
        <v>7</v>
      </c>
      <c r="C163" t="s">
        <v>6</v>
      </c>
      <c r="D163">
        <v>7842.15</v>
      </c>
      <c r="E163">
        <v>230</v>
      </c>
      <c r="F163">
        <v>56</v>
      </c>
      <c r="G163">
        <v>121329.61</v>
      </c>
      <c r="H163" s="7">
        <f t="shared" si="6"/>
        <v>24.347799999999999</v>
      </c>
      <c r="I163">
        <f t="shared" si="7"/>
        <v>14.471500000000001</v>
      </c>
      <c r="J163" t="str">
        <f t="shared" si="8"/>
        <v>Positive</v>
      </c>
    </row>
    <row r="164" spans="1:10" x14ac:dyDescent="0.3">
      <c r="A164" s="2">
        <v>45791</v>
      </c>
      <c r="B164" t="s">
        <v>13</v>
      </c>
      <c r="C164" t="s">
        <v>14</v>
      </c>
      <c r="D164">
        <v>8992.2999999999993</v>
      </c>
      <c r="E164">
        <v>231</v>
      </c>
      <c r="F164">
        <v>79</v>
      </c>
      <c r="G164">
        <v>236281.03</v>
      </c>
      <c r="H164" s="7">
        <f t="shared" si="6"/>
        <v>34.199100000000001</v>
      </c>
      <c r="I164">
        <f t="shared" si="7"/>
        <v>25.2759</v>
      </c>
      <c r="J164" t="str">
        <f t="shared" si="8"/>
        <v>Positive</v>
      </c>
    </row>
    <row r="165" spans="1:10" x14ac:dyDescent="0.3">
      <c r="A165" s="2">
        <v>45784</v>
      </c>
      <c r="B165" t="s">
        <v>10</v>
      </c>
      <c r="C165" t="s">
        <v>6</v>
      </c>
      <c r="D165">
        <v>6103.09</v>
      </c>
      <c r="E165">
        <v>173</v>
      </c>
      <c r="F165">
        <v>57</v>
      </c>
      <c r="G165">
        <v>116375.66</v>
      </c>
      <c r="H165" s="7">
        <f t="shared" si="6"/>
        <v>32.948</v>
      </c>
      <c r="I165">
        <f t="shared" si="7"/>
        <v>18.068300000000001</v>
      </c>
      <c r="J165" t="str">
        <f t="shared" si="8"/>
        <v>Positive</v>
      </c>
    </row>
    <row r="166" spans="1:10" x14ac:dyDescent="0.3">
      <c r="A166" s="2">
        <v>45923</v>
      </c>
      <c r="B166" t="s">
        <v>7</v>
      </c>
      <c r="C166" t="s">
        <v>14</v>
      </c>
      <c r="D166">
        <v>12749.53</v>
      </c>
      <c r="E166">
        <v>41</v>
      </c>
      <c r="F166">
        <v>2</v>
      </c>
      <c r="G166">
        <v>5878.69</v>
      </c>
      <c r="H166" s="7">
        <f t="shared" si="6"/>
        <v>4.8780000000000001</v>
      </c>
      <c r="I166">
        <f t="shared" si="7"/>
        <v>-0.53890000000000005</v>
      </c>
      <c r="J166" t="str">
        <f t="shared" si="8"/>
        <v>Negative</v>
      </c>
    </row>
    <row r="167" spans="1:10" x14ac:dyDescent="0.3">
      <c r="A167" s="2">
        <v>45842</v>
      </c>
      <c r="B167" t="s">
        <v>5</v>
      </c>
      <c r="C167" t="s">
        <v>14</v>
      </c>
      <c r="D167">
        <v>3495.15</v>
      </c>
      <c r="E167">
        <v>137</v>
      </c>
      <c r="F167">
        <v>18</v>
      </c>
      <c r="G167">
        <v>107492.35</v>
      </c>
      <c r="H167" s="7">
        <f t="shared" si="6"/>
        <v>13.1387</v>
      </c>
      <c r="I167">
        <f t="shared" si="7"/>
        <v>29.7547</v>
      </c>
      <c r="J167" t="str">
        <f t="shared" si="8"/>
        <v>Positive</v>
      </c>
    </row>
    <row r="168" spans="1:10" x14ac:dyDescent="0.3">
      <c r="A168" s="2">
        <v>46021</v>
      </c>
      <c r="B168" t="s">
        <v>5</v>
      </c>
      <c r="C168" t="s">
        <v>9</v>
      </c>
      <c r="D168">
        <v>14932.23</v>
      </c>
      <c r="E168">
        <v>104</v>
      </c>
      <c r="F168">
        <v>33</v>
      </c>
      <c r="G168">
        <v>79222.2</v>
      </c>
      <c r="H168" s="7">
        <f t="shared" si="6"/>
        <v>31.730799999999999</v>
      </c>
      <c r="I168">
        <f t="shared" si="7"/>
        <v>4.3055000000000003</v>
      </c>
      <c r="J168" t="str">
        <f t="shared" si="8"/>
        <v>Positive</v>
      </c>
    </row>
    <row r="169" spans="1:10" x14ac:dyDescent="0.3">
      <c r="A169" s="2">
        <v>45912</v>
      </c>
      <c r="B169" t="s">
        <v>7</v>
      </c>
      <c r="C169" t="s">
        <v>11</v>
      </c>
      <c r="D169">
        <v>6347.88</v>
      </c>
      <c r="E169">
        <v>192</v>
      </c>
      <c r="F169">
        <v>66</v>
      </c>
      <c r="G169">
        <v>389168.21</v>
      </c>
      <c r="H169" s="7">
        <f t="shared" si="6"/>
        <v>34.375</v>
      </c>
      <c r="I169">
        <f t="shared" si="7"/>
        <v>60.306800000000003</v>
      </c>
      <c r="J169" t="str">
        <f t="shared" si="8"/>
        <v>Positive</v>
      </c>
    </row>
    <row r="170" spans="1:10" x14ac:dyDescent="0.3">
      <c r="A170" s="2">
        <v>45906</v>
      </c>
      <c r="B170" t="s">
        <v>7</v>
      </c>
      <c r="C170" t="s">
        <v>14</v>
      </c>
      <c r="D170">
        <v>1383.41</v>
      </c>
      <c r="E170">
        <v>51</v>
      </c>
      <c r="F170">
        <v>10</v>
      </c>
      <c r="G170">
        <v>12751.59</v>
      </c>
      <c r="H170" s="7">
        <f t="shared" si="6"/>
        <v>19.607800000000001</v>
      </c>
      <c r="I170">
        <f t="shared" si="7"/>
        <v>8.2174999999999994</v>
      </c>
      <c r="J170" t="str">
        <f t="shared" si="8"/>
        <v>Positive</v>
      </c>
    </row>
    <row r="171" spans="1:10" x14ac:dyDescent="0.3">
      <c r="A171" s="2">
        <v>45980</v>
      </c>
      <c r="B171" t="s">
        <v>7</v>
      </c>
      <c r="C171" t="s">
        <v>14</v>
      </c>
      <c r="D171">
        <v>7401.18</v>
      </c>
      <c r="E171">
        <v>189</v>
      </c>
      <c r="F171">
        <v>60</v>
      </c>
      <c r="G171">
        <v>130655.51</v>
      </c>
      <c r="H171" s="7">
        <f t="shared" si="6"/>
        <v>31.745999999999999</v>
      </c>
      <c r="I171">
        <f t="shared" si="7"/>
        <v>16.653300000000002</v>
      </c>
      <c r="J171" t="str">
        <f t="shared" si="8"/>
        <v>Positive</v>
      </c>
    </row>
    <row r="172" spans="1:10" x14ac:dyDescent="0.3">
      <c r="A172" s="2">
        <v>45779</v>
      </c>
      <c r="B172" t="s">
        <v>10</v>
      </c>
      <c r="C172" t="s">
        <v>9</v>
      </c>
      <c r="D172">
        <v>10229.870000000001</v>
      </c>
      <c r="E172">
        <v>59</v>
      </c>
      <c r="F172">
        <v>14</v>
      </c>
      <c r="G172">
        <v>70632.73</v>
      </c>
      <c r="H172" s="7">
        <f t="shared" si="6"/>
        <v>23.7288</v>
      </c>
      <c r="I172">
        <f t="shared" si="7"/>
        <v>5.9046000000000003</v>
      </c>
      <c r="J172" t="str">
        <f t="shared" si="8"/>
        <v>Positive</v>
      </c>
    </row>
    <row r="173" spans="1:10" x14ac:dyDescent="0.3">
      <c r="A173" s="2">
        <v>45940</v>
      </c>
      <c r="B173" t="s">
        <v>13</v>
      </c>
      <c r="C173" t="s">
        <v>11</v>
      </c>
      <c r="D173">
        <v>6644.67</v>
      </c>
      <c r="E173">
        <v>139</v>
      </c>
      <c r="F173">
        <v>47</v>
      </c>
      <c r="G173">
        <v>272116.06</v>
      </c>
      <c r="H173" s="7">
        <f t="shared" si="6"/>
        <v>33.812899999999999</v>
      </c>
      <c r="I173">
        <f t="shared" si="7"/>
        <v>39.952500000000001</v>
      </c>
      <c r="J173" t="str">
        <f t="shared" si="8"/>
        <v>Positive</v>
      </c>
    </row>
    <row r="174" spans="1:10" x14ac:dyDescent="0.3">
      <c r="A174" s="2">
        <v>46016</v>
      </c>
      <c r="B174" t="s">
        <v>7</v>
      </c>
      <c r="C174" t="s">
        <v>14</v>
      </c>
      <c r="D174">
        <v>8683.3700000000008</v>
      </c>
      <c r="E174">
        <v>56</v>
      </c>
      <c r="F174">
        <v>9</v>
      </c>
      <c r="G174">
        <v>31911.13</v>
      </c>
      <c r="H174" s="7">
        <f t="shared" si="6"/>
        <v>16.071400000000001</v>
      </c>
      <c r="I174">
        <f t="shared" si="7"/>
        <v>2.6749999999999998</v>
      </c>
      <c r="J174" t="str">
        <f t="shared" si="8"/>
        <v>Positive</v>
      </c>
    </row>
    <row r="175" spans="1:10" x14ac:dyDescent="0.3">
      <c r="A175" s="2">
        <v>45884</v>
      </c>
      <c r="B175" t="s">
        <v>7</v>
      </c>
      <c r="C175" t="s">
        <v>9</v>
      </c>
      <c r="D175">
        <v>8845.31</v>
      </c>
      <c r="E175">
        <v>85</v>
      </c>
      <c r="F175">
        <v>25</v>
      </c>
      <c r="G175">
        <v>109925.5</v>
      </c>
      <c r="H175" s="7">
        <f t="shared" si="6"/>
        <v>29.411799999999999</v>
      </c>
      <c r="I175">
        <f t="shared" si="7"/>
        <v>11.4275</v>
      </c>
      <c r="J175" t="str">
        <f t="shared" si="8"/>
        <v>Positive</v>
      </c>
    </row>
    <row r="176" spans="1:10" x14ac:dyDescent="0.3">
      <c r="A176" s="2">
        <v>45840</v>
      </c>
      <c r="B176" t="s">
        <v>13</v>
      </c>
      <c r="C176" t="s">
        <v>6</v>
      </c>
      <c r="D176">
        <v>4296.7</v>
      </c>
      <c r="E176">
        <v>26</v>
      </c>
      <c r="F176">
        <v>6</v>
      </c>
      <c r="G176">
        <v>14348.57</v>
      </c>
      <c r="H176" s="7">
        <f t="shared" si="6"/>
        <v>23.076899999999998</v>
      </c>
      <c r="I176">
        <f t="shared" si="7"/>
        <v>2.3393999999999999</v>
      </c>
      <c r="J176" t="str">
        <f t="shared" si="8"/>
        <v>Positive</v>
      </c>
    </row>
    <row r="177" spans="1:10" x14ac:dyDescent="0.3">
      <c r="A177" s="2">
        <v>45714</v>
      </c>
      <c r="B177" t="s">
        <v>12</v>
      </c>
      <c r="C177" t="s">
        <v>8</v>
      </c>
      <c r="D177">
        <v>4572.78</v>
      </c>
      <c r="E177">
        <v>46</v>
      </c>
      <c r="F177">
        <v>18</v>
      </c>
      <c r="G177">
        <v>57928.66</v>
      </c>
      <c r="H177" s="7">
        <f t="shared" si="6"/>
        <v>39.130400000000002</v>
      </c>
      <c r="I177">
        <f t="shared" si="7"/>
        <v>11.668100000000001</v>
      </c>
      <c r="J177" t="str">
        <f t="shared" si="8"/>
        <v>Positive</v>
      </c>
    </row>
    <row r="178" spans="1:10" x14ac:dyDescent="0.3">
      <c r="A178" s="2">
        <v>45959</v>
      </c>
      <c r="B178" t="s">
        <v>10</v>
      </c>
      <c r="C178" t="s">
        <v>9</v>
      </c>
      <c r="D178">
        <v>13438.37</v>
      </c>
      <c r="E178">
        <v>24</v>
      </c>
      <c r="F178">
        <v>1</v>
      </c>
      <c r="G178">
        <v>3221.69</v>
      </c>
      <c r="H178" s="7">
        <f t="shared" si="6"/>
        <v>4.1666999999999996</v>
      </c>
      <c r="I178">
        <f t="shared" si="7"/>
        <v>-0.76029999999999998</v>
      </c>
      <c r="J178" t="str">
        <f t="shared" si="8"/>
        <v>Negative</v>
      </c>
    </row>
    <row r="179" spans="1:10" x14ac:dyDescent="0.3">
      <c r="A179" s="2">
        <v>45721</v>
      </c>
      <c r="B179" t="s">
        <v>5</v>
      </c>
      <c r="C179" t="s">
        <v>9</v>
      </c>
      <c r="D179">
        <v>13916.48</v>
      </c>
      <c r="E179">
        <v>23</v>
      </c>
      <c r="F179">
        <v>4</v>
      </c>
      <c r="G179">
        <v>18451.62</v>
      </c>
      <c r="H179" s="7">
        <f t="shared" si="6"/>
        <v>17.391300000000001</v>
      </c>
      <c r="I179">
        <f t="shared" si="7"/>
        <v>0.32590000000000002</v>
      </c>
      <c r="J179" t="str">
        <f t="shared" si="8"/>
        <v>Positive</v>
      </c>
    </row>
    <row r="180" spans="1:10" x14ac:dyDescent="0.3">
      <c r="A180" s="2">
        <v>45965</v>
      </c>
      <c r="B180" t="s">
        <v>5</v>
      </c>
      <c r="C180" t="s">
        <v>11</v>
      </c>
      <c r="D180">
        <v>11383.4</v>
      </c>
      <c r="E180">
        <v>47</v>
      </c>
      <c r="F180">
        <v>3</v>
      </c>
      <c r="G180">
        <v>6780.25</v>
      </c>
      <c r="H180" s="7">
        <f t="shared" si="6"/>
        <v>6.383</v>
      </c>
      <c r="I180">
        <f t="shared" si="7"/>
        <v>-0.40439999999999998</v>
      </c>
      <c r="J180" t="str">
        <f t="shared" si="8"/>
        <v>Negative</v>
      </c>
    </row>
    <row r="181" spans="1:10" x14ac:dyDescent="0.3">
      <c r="A181" s="2">
        <v>45831</v>
      </c>
      <c r="B181" t="s">
        <v>12</v>
      </c>
      <c r="C181" t="s">
        <v>14</v>
      </c>
      <c r="D181">
        <v>6978.62</v>
      </c>
      <c r="E181">
        <v>206</v>
      </c>
      <c r="F181">
        <v>55</v>
      </c>
      <c r="G181">
        <v>308336.90000000002</v>
      </c>
      <c r="H181" s="7">
        <f t="shared" si="6"/>
        <v>26.699000000000002</v>
      </c>
      <c r="I181">
        <f t="shared" si="7"/>
        <v>43.183100000000003</v>
      </c>
      <c r="J181" t="str">
        <f t="shared" si="8"/>
        <v>Positive</v>
      </c>
    </row>
    <row r="182" spans="1:10" x14ac:dyDescent="0.3">
      <c r="A182" s="2">
        <v>45721</v>
      </c>
      <c r="B182" t="s">
        <v>7</v>
      </c>
      <c r="C182" t="s">
        <v>6</v>
      </c>
      <c r="D182">
        <v>2722.23</v>
      </c>
      <c r="E182">
        <v>70</v>
      </c>
      <c r="F182">
        <v>6</v>
      </c>
      <c r="G182">
        <v>17755.47</v>
      </c>
      <c r="H182" s="7">
        <f t="shared" si="6"/>
        <v>8.5714000000000006</v>
      </c>
      <c r="I182">
        <f t="shared" si="7"/>
        <v>5.5224000000000002</v>
      </c>
      <c r="J182" t="str">
        <f t="shared" si="8"/>
        <v>Positive</v>
      </c>
    </row>
    <row r="183" spans="1:10" x14ac:dyDescent="0.3">
      <c r="A183" s="2">
        <v>45711</v>
      </c>
      <c r="B183" t="s">
        <v>5</v>
      </c>
      <c r="C183" t="s">
        <v>8</v>
      </c>
      <c r="D183">
        <v>1002.19</v>
      </c>
      <c r="E183">
        <v>144</v>
      </c>
      <c r="F183">
        <v>42</v>
      </c>
      <c r="G183">
        <v>135114.29999999999</v>
      </c>
      <c r="H183" s="7">
        <f t="shared" si="6"/>
        <v>29.166699999999999</v>
      </c>
      <c r="I183">
        <f t="shared" si="7"/>
        <v>133.81899999999999</v>
      </c>
      <c r="J183" t="str">
        <f t="shared" si="8"/>
        <v>Positive</v>
      </c>
    </row>
    <row r="184" spans="1:10" x14ac:dyDescent="0.3">
      <c r="A184" s="2">
        <v>45743</v>
      </c>
      <c r="B184" t="s">
        <v>7</v>
      </c>
      <c r="C184" t="s">
        <v>11</v>
      </c>
      <c r="D184">
        <v>11373.29</v>
      </c>
      <c r="E184">
        <v>104</v>
      </c>
      <c r="F184">
        <v>37</v>
      </c>
      <c r="G184">
        <v>68314.92</v>
      </c>
      <c r="H184" s="7">
        <f t="shared" si="6"/>
        <v>35.576900000000002</v>
      </c>
      <c r="I184">
        <f t="shared" si="7"/>
        <v>5.0065999999999997</v>
      </c>
      <c r="J184" t="str">
        <f t="shared" si="8"/>
        <v>Positive</v>
      </c>
    </row>
    <row r="185" spans="1:10" x14ac:dyDescent="0.3">
      <c r="A185" s="2">
        <v>45668</v>
      </c>
      <c r="B185" t="s">
        <v>12</v>
      </c>
      <c r="C185" t="s">
        <v>14</v>
      </c>
      <c r="D185">
        <v>9093.1200000000008</v>
      </c>
      <c r="E185">
        <v>150</v>
      </c>
      <c r="F185">
        <v>24</v>
      </c>
      <c r="G185">
        <v>140504.1</v>
      </c>
      <c r="H185" s="7">
        <f t="shared" si="6"/>
        <v>16</v>
      </c>
      <c r="I185">
        <f t="shared" si="7"/>
        <v>14.451700000000001</v>
      </c>
      <c r="J185" t="str">
        <f t="shared" si="8"/>
        <v>Positive</v>
      </c>
    </row>
    <row r="186" spans="1:10" x14ac:dyDescent="0.3">
      <c r="A186" s="2">
        <v>45709</v>
      </c>
      <c r="B186" t="s">
        <v>10</v>
      </c>
      <c r="C186" t="s">
        <v>9</v>
      </c>
      <c r="D186">
        <v>7473.57</v>
      </c>
      <c r="E186">
        <v>42</v>
      </c>
      <c r="F186">
        <v>3</v>
      </c>
      <c r="G186">
        <v>9971.69</v>
      </c>
      <c r="H186" s="7">
        <f t="shared" si="6"/>
        <v>7.1429</v>
      </c>
      <c r="I186">
        <f t="shared" si="7"/>
        <v>0.33429999999999999</v>
      </c>
      <c r="J186" t="str">
        <f t="shared" si="8"/>
        <v>Positive</v>
      </c>
    </row>
    <row r="187" spans="1:10" x14ac:dyDescent="0.3">
      <c r="A187" s="2">
        <v>45772</v>
      </c>
      <c r="B187" t="s">
        <v>7</v>
      </c>
      <c r="C187" t="s">
        <v>6</v>
      </c>
      <c r="D187">
        <v>6662.73</v>
      </c>
      <c r="E187">
        <v>154</v>
      </c>
      <c r="F187">
        <v>55</v>
      </c>
      <c r="G187">
        <v>182447.44</v>
      </c>
      <c r="H187" s="7">
        <f t="shared" si="6"/>
        <v>35.714300000000001</v>
      </c>
      <c r="I187">
        <f t="shared" si="7"/>
        <v>26.383299999999998</v>
      </c>
      <c r="J187" t="str">
        <f t="shared" si="8"/>
        <v>Positive</v>
      </c>
    </row>
    <row r="188" spans="1:10" x14ac:dyDescent="0.3">
      <c r="A188" s="2">
        <v>45887</v>
      </c>
      <c r="B188" t="s">
        <v>7</v>
      </c>
      <c r="C188" t="s">
        <v>11</v>
      </c>
      <c r="D188">
        <v>10968.48</v>
      </c>
      <c r="E188">
        <v>148</v>
      </c>
      <c r="F188">
        <v>50</v>
      </c>
      <c r="G188">
        <v>104294.1</v>
      </c>
      <c r="H188" s="7">
        <f t="shared" si="6"/>
        <v>33.783799999999999</v>
      </c>
      <c r="I188">
        <f t="shared" si="7"/>
        <v>8.5084999999999997</v>
      </c>
      <c r="J188" t="str">
        <f t="shared" si="8"/>
        <v>Positive</v>
      </c>
    </row>
    <row r="189" spans="1:10" x14ac:dyDescent="0.3">
      <c r="A189" s="2">
        <v>45737</v>
      </c>
      <c r="B189" t="s">
        <v>7</v>
      </c>
      <c r="C189" t="s">
        <v>14</v>
      </c>
      <c r="D189">
        <v>6178.1</v>
      </c>
      <c r="E189">
        <v>71</v>
      </c>
      <c r="F189">
        <v>9</v>
      </c>
      <c r="G189">
        <v>53016.41</v>
      </c>
      <c r="H189" s="7">
        <f t="shared" si="6"/>
        <v>12.6761</v>
      </c>
      <c r="I189">
        <f t="shared" si="7"/>
        <v>7.5812999999999997</v>
      </c>
      <c r="J189" t="str">
        <f t="shared" si="8"/>
        <v>Positive</v>
      </c>
    </row>
    <row r="190" spans="1:10" x14ac:dyDescent="0.3">
      <c r="A190" s="2">
        <v>45885</v>
      </c>
      <c r="B190" t="s">
        <v>5</v>
      </c>
      <c r="C190" t="s">
        <v>11</v>
      </c>
      <c r="D190">
        <v>10676.66</v>
      </c>
      <c r="E190">
        <v>229</v>
      </c>
      <c r="F190">
        <v>83</v>
      </c>
      <c r="G190">
        <v>212762.56</v>
      </c>
      <c r="H190" s="7">
        <f t="shared" si="6"/>
        <v>36.244500000000002</v>
      </c>
      <c r="I190">
        <f t="shared" si="7"/>
        <v>18.927800000000001</v>
      </c>
      <c r="J190" t="str">
        <f t="shared" si="8"/>
        <v>Positive</v>
      </c>
    </row>
    <row r="191" spans="1:10" x14ac:dyDescent="0.3">
      <c r="A191" s="2">
        <v>45900</v>
      </c>
      <c r="B191" t="s">
        <v>10</v>
      </c>
      <c r="C191" t="s">
        <v>11</v>
      </c>
      <c r="D191">
        <v>3015.69</v>
      </c>
      <c r="E191">
        <v>148</v>
      </c>
      <c r="F191">
        <v>43</v>
      </c>
      <c r="G191">
        <v>164672.04999999999</v>
      </c>
      <c r="H191" s="7">
        <f t="shared" si="6"/>
        <v>29.054099999999998</v>
      </c>
      <c r="I191">
        <f t="shared" si="7"/>
        <v>53.6051</v>
      </c>
      <c r="J191" t="str">
        <f t="shared" si="8"/>
        <v>Positive</v>
      </c>
    </row>
    <row r="192" spans="1:10" x14ac:dyDescent="0.3">
      <c r="A192" s="2">
        <v>45863</v>
      </c>
      <c r="B192" t="s">
        <v>12</v>
      </c>
      <c r="C192" t="s">
        <v>14</v>
      </c>
      <c r="D192">
        <v>12987.65</v>
      </c>
      <c r="E192">
        <v>184</v>
      </c>
      <c r="F192">
        <v>69</v>
      </c>
      <c r="G192">
        <v>323798.19</v>
      </c>
      <c r="H192" s="7">
        <f t="shared" si="6"/>
        <v>37.5</v>
      </c>
      <c r="I192">
        <f t="shared" si="7"/>
        <v>23.9312</v>
      </c>
      <c r="J192" t="str">
        <f t="shared" si="8"/>
        <v>Positive</v>
      </c>
    </row>
    <row r="193" spans="1:10" x14ac:dyDescent="0.3">
      <c r="A193" s="2">
        <v>45761</v>
      </c>
      <c r="B193" t="s">
        <v>10</v>
      </c>
      <c r="C193" t="s">
        <v>6</v>
      </c>
      <c r="D193">
        <v>12401.79</v>
      </c>
      <c r="E193">
        <v>37</v>
      </c>
      <c r="F193">
        <v>7</v>
      </c>
      <c r="G193">
        <v>28771.23</v>
      </c>
      <c r="H193" s="7">
        <f t="shared" si="6"/>
        <v>18.918900000000001</v>
      </c>
      <c r="I193">
        <f t="shared" si="7"/>
        <v>1.3199000000000001</v>
      </c>
      <c r="J193" t="str">
        <f t="shared" si="8"/>
        <v>Positive</v>
      </c>
    </row>
    <row r="194" spans="1:10" x14ac:dyDescent="0.3">
      <c r="A194" s="2">
        <v>45828</v>
      </c>
      <c r="B194" t="s">
        <v>13</v>
      </c>
      <c r="C194" t="s">
        <v>6</v>
      </c>
      <c r="D194">
        <v>4096.16</v>
      </c>
      <c r="E194">
        <v>194</v>
      </c>
      <c r="F194">
        <v>3</v>
      </c>
      <c r="G194">
        <v>5907.2</v>
      </c>
      <c r="H194" s="7">
        <f t="shared" ref="H194:H257" si="9">ROUND((F194/E194)*100,4)</f>
        <v>1.5464</v>
      </c>
      <c r="I194">
        <f t="shared" ref="I194:I257" si="10">ROUND(((G194-D194)/D194),4)</f>
        <v>0.44209999999999999</v>
      </c>
      <c r="J194" t="str">
        <f t="shared" si="8"/>
        <v>Positive</v>
      </c>
    </row>
    <row r="195" spans="1:10" x14ac:dyDescent="0.3">
      <c r="A195" s="2">
        <v>45827</v>
      </c>
      <c r="B195" t="s">
        <v>10</v>
      </c>
      <c r="C195" t="s">
        <v>11</v>
      </c>
      <c r="D195">
        <v>8095.17</v>
      </c>
      <c r="E195">
        <v>212</v>
      </c>
      <c r="F195">
        <v>50</v>
      </c>
      <c r="G195">
        <v>184649.21</v>
      </c>
      <c r="H195" s="7">
        <f t="shared" si="9"/>
        <v>23.584900000000001</v>
      </c>
      <c r="I195">
        <f t="shared" si="10"/>
        <v>21.809799999999999</v>
      </c>
      <c r="J195" t="str">
        <f t="shared" ref="J195:J258" si="11">IF(I195&gt;0,"Positive","Negative")</f>
        <v>Positive</v>
      </c>
    </row>
    <row r="196" spans="1:10" x14ac:dyDescent="0.3">
      <c r="A196" s="2">
        <v>45832</v>
      </c>
      <c r="B196" t="s">
        <v>5</v>
      </c>
      <c r="C196" t="s">
        <v>6</v>
      </c>
      <c r="D196">
        <v>14781.95</v>
      </c>
      <c r="E196">
        <v>24</v>
      </c>
      <c r="F196">
        <v>8</v>
      </c>
      <c r="G196">
        <v>29841.66</v>
      </c>
      <c r="H196" s="7">
        <f t="shared" si="9"/>
        <v>33.333300000000001</v>
      </c>
      <c r="I196">
        <f t="shared" si="10"/>
        <v>1.0187999999999999</v>
      </c>
      <c r="J196" t="str">
        <f t="shared" si="11"/>
        <v>Positive</v>
      </c>
    </row>
    <row r="197" spans="1:10" x14ac:dyDescent="0.3">
      <c r="A197" s="2">
        <v>45744</v>
      </c>
      <c r="B197" t="s">
        <v>12</v>
      </c>
      <c r="C197" t="s">
        <v>14</v>
      </c>
      <c r="D197">
        <v>11658.39</v>
      </c>
      <c r="E197">
        <v>199</v>
      </c>
      <c r="F197">
        <v>42</v>
      </c>
      <c r="G197">
        <v>177838.87</v>
      </c>
      <c r="H197" s="7">
        <f t="shared" si="9"/>
        <v>21.105499999999999</v>
      </c>
      <c r="I197">
        <f t="shared" si="10"/>
        <v>14.254200000000001</v>
      </c>
      <c r="J197" t="str">
        <f t="shared" si="11"/>
        <v>Positive</v>
      </c>
    </row>
    <row r="198" spans="1:10" x14ac:dyDescent="0.3">
      <c r="A198" s="2">
        <v>45724</v>
      </c>
      <c r="B198" t="s">
        <v>12</v>
      </c>
      <c r="C198" t="s">
        <v>6</v>
      </c>
      <c r="D198">
        <v>5493.78</v>
      </c>
      <c r="E198">
        <v>162</v>
      </c>
      <c r="F198">
        <v>44</v>
      </c>
      <c r="G198">
        <v>203280.88</v>
      </c>
      <c r="H198" s="7">
        <f t="shared" si="9"/>
        <v>27.160499999999999</v>
      </c>
      <c r="I198">
        <f t="shared" si="10"/>
        <v>36.002000000000002</v>
      </c>
      <c r="J198" t="str">
        <f t="shared" si="11"/>
        <v>Positive</v>
      </c>
    </row>
    <row r="199" spans="1:10" x14ac:dyDescent="0.3">
      <c r="A199" s="2">
        <v>45911</v>
      </c>
      <c r="B199" t="s">
        <v>5</v>
      </c>
      <c r="C199" t="s">
        <v>8</v>
      </c>
      <c r="D199">
        <v>12288.41</v>
      </c>
      <c r="E199">
        <v>70</v>
      </c>
      <c r="F199">
        <v>6</v>
      </c>
      <c r="G199">
        <v>32656.13</v>
      </c>
      <c r="H199" s="7">
        <f t="shared" si="9"/>
        <v>8.5714000000000006</v>
      </c>
      <c r="I199">
        <f t="shared" si="10"/>
        <v>1.6575</v>
      </c>
      <c r="J199" t="str">
        <f t="shared" si="11"/>
        <v>Positive</v>
      </c>
    </row>
    <row r="200" spans="1:10" x14ac:dyDescent="0.3">
      <c r="A200" s="2">
        <v>45758</v>
      </c>
      <c r="B200" t="s">
        <v>7</v>
      </c>
      <c r="C200" t="s">
        <v>8</v>
      </c>
      <c r="D200">
        <v>6288.37</v>
      </c>
      <c r="E200">
        <v>35</v>
      </c>
      <c r="F200">
        <v>10</v>
      </c>
      <c r="G200">
        <v>51481.62</v>
      </c>
      <c r="H200" s="7">
        <f t="shared" si="9"/>
        <v>28.571400000000001</v>
      </c>
      <c r="I200">
        <f t="shared" si="10"/>
        <v>7.1867999999999999</v>
      </c>
      <c r="J200" t="str">
        <f t="shared" si="11"/>
        <v>Positive</v>
      </c>
    </row>
    <row r="201" spans="1:10" x14ac:dyDescent="0.3">
      <c r="A201" s="2">
        <v>45709</v>
      </c>
      <c r="B201" t="s">
        <v>13</v>
      </c>
      <c r="C201" t="s">
        <v>8</v>
      </c>
      <c r="D201">
        <v>8276.1</v>
      </c>
      <c r="E201">
        <v>133</v>
      </c>
      <c r="F201">
        <v>44</v>
      </c>
      <c r="G201">
        <v>115028.01</v>
      </c>
      <c r="H201" s="7">
        <f t="shared" si="9"/>
        <v>33.082700000000003</v>
      </c>
      <c r="I201">
        <f t="shared" si="10"/>
        <v>12.8988</v>
      </c>
      <c r="J201" t="str">
        <f t="shared" si="11"/>
        <v>Positive</v>
      </c>
    </row>
    <row r="202" spans="1:10" x14ac:dyDescent="0.3">
      <c r="A202" s="2">
        <v>45889</v>
      </c>
      <c r="B202" t="s">
        <v>13</v>
      </c>
      <c r="C202" t="s">
        <v>8</v>
      </c>
      <c r="D202">
        <v>10804.74</v>
      </c>
      <c r="E202">
        <v>108</v>
      </c>
      <c r="F202">
        <v>38</v>
      </c>
      <c r="G202">
        <v>146998.29</v>
      </c>
      <c r="H202" s="7">
        <f t="shared" si="9"/>
        <v>35.185200000000002</v>
      </c>
      <c r="I202">
        <f t="shared" si="10"/>
        <v>12.605</v>
      </c>
      <c r="J202" t="str">
        <f t="shared" si="11"/>
        <v>Positive</v>
      </c>
    </row>
    <row r="203" spans="1:10" x14ac:dyDescent="0.3">
      <c r="A203" s="2">
        <v>45923</v>
      </c>
      <c r="B203" t="s">
        <v>5</v>
      </c>
      <c r="C203" t="s">
        <v>9</v>
      </c>
      <c r="D203">
        <v>14641.34</v>
      </c>
      <c r="E203">
        <v>25</v>
      </c>
      <c r="F203">
        <v>4</v>
      </c>
      <c r="G203">
        <v>9509.44</v>
      </c>
      <c r="H203" s="7">
        <f t="shared" si="9"/>
        <v>16</v>
      </c>
      <c r="I203">
        <f t="shared" si="10"/>
        <v>-0.35049999999999998</v>
      </c>
      <c r="J203" t="str">
        <f t="shared" si="11"/>
        <v>Negative</v>
      </c>
    </row>
    <row r="204" spans="1:10" x14ac:dyDescent="0.3">
      <c r="A204" s="2">
        <v>45987</v>
      </c>
      <c r="B204" t="s">
        <v>7</v>
      </c>
      <c r="C204" t="s">
        <v>14</v>
      </c>
      <c r="D204">
        <v>10817.01</v>
      </c>
      <c r="E204">
        <v>189</v>
      </c>
      <c r="F204">
        <v>45</v>
      </c>
      <c r="G204">
        <v>251065.09</v>
      </c>
      <c r="H204" s="7">
        <f t="shared" si="9"/>
        <v>23.8095</v>
      </c>
      <c r="I204">
        <f t="shared" si="10"/>
        <v>22.2102</v>
      </c>
      <c r="J204" t="str">
        <f t="shared" si="11"/>
        <v>Positive</v>
      </c>
    </row>
    <row r="205" spans="1:10" x14ac:dyDescent="0.3">
      <c r="A205" s="2">
        <v>45981</v>
      </c>
      <c r="B205" t="s">
        <v>12</v>
      </c>
      <c r="C205" t="s">
        <v>6</v>
      </c>
      <c r="D205">
        <v>9679.6</v>
      </c>
      <c r="E205">
        <v>130</v>
      </c>
      <c r="F205">
        <v>44</v>
      </c>
      <c r="G205">
        <v>118717.27</v>
      </c>
      <c r="H205" s="7">
        <f t="shared" si="9"/>
        <v>33.846200000000003</v>
      </c>
      <c r="I205">
        <f t="shared" si="10"/>
        <v>11.264699999999999</v>
      </c>
      <c r="J205" t="str">
        <f t="shared" si="11"/>
        <v>Positive</v>
      </c>
    </row>
    <row r="206" spans="1:10" x14ac:dyDescent="0.3">
      <c r="A206" s="2">
        <v>46013</v>
      </c>
      <c r="B206" t="s">
        <v>7</v>
      </c>
      <c r="C206" t="s">
        <v>9</v>
      </c>
      <c r="D206">
        <v>1125.7</v>
      </c>
      <c r="E206">
        <v>121</v>
      </c>
      <c r="F206">
        <v>37</v>
      </c>
      <c r="G206">
        <v>156356.87</v>
      </c>
      <c r="H206" s="7">
        <f t="shared" si="9"/>
        <v>30.578499999999998</v>
      </c>
      <c r="I206">
        <f t="shared" si="10"/>
        <v>137.89750000000001</v>
      </c>
      <c r="J206" t="str">
        <f t="shared" si="11"/>
        <v>Positive</v>
      </c>
    </row>
    <row r="207" spans="1:10" x14ac:dyDescent="0.3">
      <c r="A207" s="2">
        <v>45860</v>
      </c>
      <c r="B207" t="s">
        <v>5</v>
      </c>
      <c r="C207" t="s">
        <v>6</v>
      </c>
      <c r="D207">
        <v>7502.35</v>
      </c>
      <c r="E207">
        <v>104</v>
      </c>
      <c r="F207">
        <v>32</v>
      </c>
      <c r="G207">
        <v>180973.89</v>
      </c>
      <c r="H207" s="7">
        <f t="shared" si="9"/>
        <v>30.769200000000001</v>
      </c>
      <c r="I207">
        <f t="shared" si="10"/>
        <v>23.122299999999999</v>
      </c>
      <c r="J207" t="str">
        <f t="shared" si="11"/>
        <v>Positive</v>
      </c>
    </row>
    <row r="208" spans="1:10" x14ac:dyDescent="0.3">
      <c r="A208" s="2">
        <v>45728</v>
      </c>
      <c r="B208" t="s">
        <v>5</v>
      </c>
      <c r="C208" t="s">
        <v>14</v>
      </c>
      <c r="D208">
        <v>2081.4299999999998</v>
      </c>
      <c r="E208">
        <v>204</v>
      </c>
      <c r="F208">
        <v>3</v>
      </c>
      <c r="G208">
        <v>10994.61</v>
      </c>
      <c r="H208" s="7">
        <f t="shared" si="9"/>
        <v>1.4705999999999999</v>
      </c>
      <c r="I208">
        <f t="shared" si="10"/>
        <v>4.2821999999999996</v>
      </c>
      <c r="J208" t="str">
        <f t="shared" si="11"/>
        <v>Positive</v>
      </c>
    </row>
    <row r="209" spans="1:10" x14ac:dyDescent="0.3">
      <c r="A209" s="2">
        <v>45868</v>
      </c>
      <c r="B209" t="s">
        <v>13</v>
      </c>
      <c r="C209" t="s">
        <v>14</v>
      </c>
      <c r="D209">
        <v>14191.41</v>
      </c>
      <c r="E209">
        <v>202</v>
      </c>
      <c r="F209">
        <v>28</v>
      </c>
      <c r="G209">
        <v>58647.39</v>
      </c>
      <c r="H209" s="7">
        <f t="shared" si="9"/>
        <v>13.8614</v>
      </c>
      <c r="I209">
        <f t="shared" si="10"/>
        <v>3.1326000000000001</v>
      </c>
      <c r="J209" t="str">
        <f t="shared" si="11"/>
        <v>Positive</v>
      </c>
    </row>
    <row r="210" spans="1:10" x14ac:dyDescent="0.3">
      <c r="A210" s="2">
        <v>45740</v>
      </c>
      <c r="B210" t="s">
        <v>5</v>
      </c>
      <c r="C210" t="s">
        <v>9</v>
      </c>
      <c r="D210">
        <v>10131.129999999999</v>
      </c>
      <c r="E210">
        <v>233</v>
      </c>
      <c r="F210">
        <v>9</v>
      </c>
      <c r="G210">
        <v>44802.95</v>
      </c>
      <c r="H210" s="7">
        <f t="shared" si="9"/>
        <v>3.8626999999999998</v>
      </c>
      <c r="I210">
        <f t="shared" si="10"/>
        <v>3.4222999999999999</v>
      </c>
      <c r="J210" t="str">
        <f t="shared" si="11"/>
        <v>Positive</v>
      </c>
    </row>
    <row r="211" spans="1:10" x14ac:dyDescent="0.3">
      <c r="A211" s="2">
        <v>45741</v>
      </c>
      <c r="B211" t="s">
        <v>12</v>
      </c>
      <c r="C211" t="s">
        <v>9</v>
      </c>
      <c r="D211">
        <v>10330.33</v>
      </c>
      <c r="E211">
        <v>127</v>
      </c>
      <c r="F211">
        <v>14</v>
      </c>
      <c r="G211">
        <v>34586.17</v>
      </c>
      <c r="H211" s="7">
        <f t="shared" si="9"/>
        <v>11.0236</v>
      </c>
      <c r="I211">
        <f t="shared" si="10"/>
        <v>2.3479999999999999</v>
      </c>
      <c r="J211" t="str">
        <f t="shared" si="11"/>
        <v>Positive</v>
      </c>
    </row>
    <row r="212" spans="1:10" x14ac:dyDescent="0.3">
      <c r="A212" s="2">
        <v>45848</v>
      </c>
      <c r="B212" t="s">
        <v>10</v>
      </c>
      <c r="C212" t="s">
        <v>9</v>
      </c>
      <c r="D212">
        <v>14347.59</v>
      </c>
      <c r="E212">
        <v>213</v>
      </c>
      <c r="F212">
        <v>30</v>
      </c>
      <c r="G212">
        <v>174441.31</v>
      </c>
      <c r="H212" s="7">
        <f t="shared" si="9"/>
        <v>14.0845</v>
      </c>
      <c r="I212">
        <f t="shared" si="10"/>
        <v>11.158200000000001</v>
      </c>
      <c r="J212" t="str">
        <f t="shared" si="11"/>
        <v>Positive</v>
      </c>
    </row>
    <row r="213" spans="1:10" x14ac:dyDescent="0.3">
      <c r="A213" s="2">
        <v>46020</v>
      </c>
      <c r="B213" t="s">
        <v>13</v>
      </c>
      <c r="C213" t="s">
        <v>9</v>
      </c>
      <c r="D213">
        <v>13674.99</v>
      </c>
      <c r="E213">
        <v>141</v>
      </c>
      <c r="F213">
        <v>54</v>
      </c>
      <c r="G213">
        <v>92151.15</v>
      </c>
      <c r="H213" s="7">
        <f t="shared" si="9"/>
        <v>38.297899999999998</v>
      </c>
      <c r="I213">
        <f t="shared" si="10"/>
        <v>5.7386999999999997</v>
      </c>
      <c r="J213" t="str">
        <f t="shared" si="11"/>
        <v>Positive</v>
      </c>
    </row>
    <row r="214" spans="1:10" x14ac:dyDescent="0.3">
      <c r="A214" s="2">
        <v>45954</v>
      </c>
      <c r="B214" t="s">
        <v>13</v>
      </c>
      <c r="C214" t="s">
        <v>8</v>
      </c>
      <c r="D214">
        <v>7159.28</v>
      </c>
      <c r="E214">
        <v>95</v>
      </c>
      <c r="F214">
        <v>32</v>
      </c>
      <c r="G214">
        <v>115624.73</v>
      </c>
      <c r="H214" s="7">
        <f t="shared" si="9"/>
        <v>33.684199999999997</v>
      </c>
      <c r="I214">
        <f t="shared" si="10"/>
        <v>15.1503</v>
      </c>
      <c r="J214" t="str">
        <f t="shared" si="11"/>
        <v>Positive</v>
      </c>
    </row>
    <row r="215" spans="1:10" x14ac:dyDescent="0.3">
      <c r="A215" s="2">
        <v>45757</v>
      </c>
      <c r="B215" t="s">
        <v>13</v>
      </c>
      <c r="C215" t="s">
        <v>11</v>
      </c>
      <c r="D215">
        <v>4220.95</v>
      </c>
      <c r="E215">
        <v>104</v>
      </c>
      <c r="F215">
        <v>5</v>
      </c>
      <c r="G215">
        <v>28627.89</v>
      </c>
      <c r="H215" s="7">
        <f t="shared" si="9"/>
        <v>4.8076999999999996</v>
      </c>
      <c r="I215">
        <f t="shared" si="10"/>
        <v>5.7823000000000002</v>
      </c>
      <c r="J215" t="str">
        <f t="shared" si="11"/>
        <v>Positive</v>
      </c>
    </row>
    <row r="216" spans="1:10" x14ac:dyDescent="0.3">
      <c r="A216" s="2">
        <v>45740</v>
      </c>
      <c r="B216" t="s">
        <v>7</v>
      </c>
      <c r="C216" t="s">
        <v>11</v>
      </c>
      <c r="D216">
        <v>14675.42</v>
      </c>
      <c r="E216">
        <v>143</v>
      </c>
      <c r="F216">
        <v>38</v>
      </c>
      <c r="G216">
        <v>143295.4</v>
      </c>
      <c r="H216" s="7">
        <f t="shared" si="9"/>
        <v>26.573399999999999</v>
      </c>
      <c r="I216">
        <f t="shared" si="10"/>
        <v>8.7643000000000004</v>
      </c>
      <c r="J216" t="str">
        <f t="shared" si="11"/>
        <v>Positive</v>
      </c>
    </row>
    <row r="217" spans="1:10" x14ac:dyDescent="0.3">
      <c r="A217" s="2">
        <v>45931</v>
      </c>
      <c r="B217" t="s">
        <v>13</v>
      </c>
      <c r="C217" t="s">
        <v>9</v>
      </c>
      <c r="D217">
        <v>12359.18</v>
      </c>
      <c r="E217">
        <v>195</v>
      </c>
      <c r="F217">
        <v>78</v>
      </c>
      <c r="G217">
        <v>385302.42</v>
      </c>
      <c r="H217" s="7">
        <f t="shared" si="9"/>
        <v>40</v>
      </c>
      <c r="I217">
        <f t="shared" si="10"/>
        <v>30.1754</v>
      </c>
      <c r="J217" t="str">
        <f t="shared" si="11"/>
        <v>Positive</v>
      </c>
    </row>
    <row r="218" spans="1:10" x14ac:dyDescent="0.3">
      <c r="A218" s="2">
        <v>45722</v>
      </c>
      <c r="B218" t="s">
        <v>7</v>
      </c>
      <c r="C218" t="s">
        <v>6</v>
      </c>
      <c r="D218">
        <v>14425.27</v>
      </c>
      <c r="E218">
        <v>36</v>
      </c>
      <c r="F218">
        <v>8</v>
      </c>
      <c r="G218">
        <v>36451.769999999997</v>
      </c>
      <c r="H218" s="7">
        <f t="shared" si="9"/>
        <v>22.222200000000001</v>
      </c>
      <c r="I218">
        <f t="shared" si="10"/>
        <v>1.5268999999999999</v>
      </c>
      <c r="J218" t="str">
        <f t="shared" si="11"/>
        <v>Positive</v>
      </c>
    </row>
    <row r="219" spans="1:10" x14ac:dyDescent="0.3">
      <c r="A219" s="2">
        <v>45771</v>
      </c>
      <c r="B219" t="s">
        <v>5</v>
      </c>
      <c r="C219" t="s">
        <v>14</v>
      </c>
      <c r="D219">
        <v>13010.99</v>
      </c>
      <c r="E219">
        <v>31</v>
      </c>
      <c r="F219">
        <v>9</v>
      </c>
      <c r="G219">
        <v>30028.13</v>
      </c>
      <c r="H219" s="7">
        <f t="shared" si="9"/>
        <v>29.032299999999999</v>
      </c>
      <c r="I219">
        <f t="shared" si="10"/>
        <v>1.3079000000000001</v>
      </c>
      <c r="J219" t="str">
        <f t="shared" si="11"/>
        <v>Positive</v>
      </c>
    </row>
    <row r="220" spans="1:10" x14ac:dyDescent="0.3">
      <c r="A220" s="2">
        <v>45778</v>
      </c>
      <c r="B220" t="s">
        <v>12</v>
      </c>
      <c r="C220" t="s">
        <v>6</v>
      </c>
      <c r="D220">
        <v>12099.97</v>
      </c>
      <c r="E220">
        <v>155</v>
      </c>
      <c r="F220">
        <v>1</v>
      </c>
      <c r="G220">
        <v>2640.1</v>
      </c>
      <c r="H220" s="7">
        <f t="shared" si="9"/>
        <v>0.6452</v>
      </c>
      <c r="I220">
        <f t="shared" si="10"/>
        <v>-0.78180000000000005</v>
      </c>
      <c r="J220" t="str">
        <f t="shared" si="11"/>
        <v>Negative</v>
      </c>
    </row>
    <row r="221" spans="1:10" x14ac:dyDescent="0.3">
      <c r="A221" s="2">
        <v>45875</v>
      </c>
      <c r="B221" t="s">
        <v>5</v>
      </c>
      <c r="C221" t="s">
        <v>11</v>
      </c>
      <c r="D221">
        <v>7123.82</v>
      </c>
      <c r="E221">
        <v>84</v>
      </c>
      <c r="F221">
        <v>30</v>
      </c>
      <c r="G221">
        <v>58872.86</v>
      </c>
      <c r="H221" s="7">
        <f t="shared" si="9"/>
        <v>35.714300000000001</v>
      </c>
      <c r="I221">
        <f t="shared" si="10"/>
        <v>7.2641999999999998</v>
      </c>
      <c r="J221" t="str">
        <f t="shared" si="11"/>
        <v>Positive</v>
      </c>
    </row>
    <row r="222" spans="1:10" x14ac:dyDescent="0.3">
      <c r="A222" s="2">
        <v>45902</v>
      </c>
      <c r="B222" t="s">
        <v>10</v>
      </c>
      <c r="C222" t="s">
        <v>8</v>
      </c>
      <c r="D222">
        <v>8302.5400000000009</v>
      </c>
      <c r="E222">
        <v>56</v>
      </c>
      <c r="F222">
        <v>14</v>
      </c>
      <c r="G222">
        <v>47145.87</v>
      </c>
      <c r="H222" s="7">
        <f t="shared" si="9"/>
        <v>25</v>
      </c>
      <c r="I222">
        <f t="shared" si="10"/>
        <v>4.6784999999999997</v>
      </c>
      <c r="J222" t="str">
        <f t="shared" si="11"/>
        <v>Positive</v>
      </c>
    </row>
    <row r="223" spans="1:10" x14ac:dyDescent="0.3">
      <c r="A223" s="2">
        <v>45952</v>
      </c>
      <c r="B223" t="s">
        <v>13</v>
      </c>
      <c r="C223" t="s">
        <v>8</v>
      </c>
      <c r="D223">
        <v>7111.69</v>
      </c>
      <c r="E223">
        <v>110</v>
      </c>
      <c r="F223">
        <v>2</v>
      </c>
      <c r="G223">
        <v>10964.66</v>
      </c>
      <c r="H223" s="7">
        <f t="shared" si="9"/>
        <v>1.8182</v>
      </c>
      <c r="I223">
        <f t="shared" si="10"/>
        <v>0.54179999999999995</v>
      </c>
      <c r="J223" t="str">
        <f t="shared" si="11"/>
        <v>Positive</v>
      </c>
    </row>
    <row r="224" spans="1:10" x14ac:dyDescent="0.3">
      <c r="A224" s="2">
        <v>45858</v>
      </c>
      <c r="B224" t="s">
        <v>12</v>
      </c>
      <c r="C224" t="s">
        <v>8</v>
      </c>
      <c r="D224">
        <v>2033.69</v>
      </c>
      <c r="E224">
        <v>107</v>
      </c>
      <c r="F224">
        <v>5</v>
      </c>
      <c r="G224">
        <v>22175.61</v>
      </c>
      <c r="H224" s="7">
        <f t="shared" si="9"/>
        <v>4.6729000000000003</v>
      </c>
      <c r="I224">
        <f t="shared" si="10"/>
        <v>9.9040999999999997</v>
      </c>
      <c r="J224" t="str">
        <f t="shared" si="11"/>
        <v>Positive</v>
      </c>
    </row>
    <row r="225" spans="1:10" x14ac:dyDescent="0.3">
      <c r="A225" s="2">
        <v>45884</v>
      </c>
      <c r="B225" t="s">
        <v>10</v>
      </c>
      <c r="C225" t="s">
        <v>6</v>
      </c>
      <c r="D225">
        <v>3705.5</v>
      </c>
      <c r="E225">
        <v>202</v>
      </c>
      <c r="F225">
        <v>43</v>
      </c>
      <c r="G225">
        <v>72120.289999999994</v>
      </c>
      <c r="H225" s="7">
        <f t="shared" si="9"/>
        <v>21.287099999999999</v>
      </c>
      <c r="I225">
        <f t="shared" si="10"/>
        <v>18.463000000000001</v>
      </c>
      <c r="J225" t="str">
        <f t="shared" si="11"/>
        <v>Positive</v>
      </c>
    </row>
    <row r="226" spans="1:10" x14ac:dyDescent="0.3">
      <c r="A226" s="2">
        <v>45861</v>
      </c>
      <c r="B226" t="s">
        <v>5</v>
      </c>
      <c r="C226" t="s">
        <v>14</v>
      </c>
      <c r="D226">
        <v>7464.07</v>
      </c>
      <c r="E226">
        <v>182</v>
      </c>
      <c r="F226">
        <v>10</v>
      </c>
      <c r="G226">
        <v>24281.5</v>
      </c>
      <c r="H226" s="7">
        <f t="shared" si="9"/>
        <v>5.4945000000000004</v>
      </c>
      <c r="I226">
        <f t="shared" si="10"/>
        <v>2.2530999999999999</v>
      </c>
      <c r="J226" t="str">
        <f t="shared" si="11"/>
        <v>Positive</v>
      </c>
    </row>
    <row r="227" spans="1:10" x14ac:dyDescent="0.3">
      <c r="A227" s="2">
        <v>45940</v>
      </c>
      <c r="B227" t="s">
        <v>5</v>
      </c>
      <c r="C227" t="s">
        <v>14</v>
      </c>
      <c r="D227">
        <v>2056.58</v>
      </c>
      <c r="E227">
        <v>228</v>
      </c>
      <c r="F227">
        <v>66</v>
      </c>
      <c r="G227">
        <v>93701.42</v>
      </c>
      <c r="H227" s="7">
        <f t="shared" si="9"/>
        <v>28.947399999999998</v>
      </c>
      <c r="I227">
        <f t="shared" si="10"/>
        <v>44.561799999999998</v>
      </c>
      <c r="J227" t="str">
        <f t="shared" si="11"/>
        <v>Positive</v>
      </c>
    </row>
    <row r="228" spans="1:10" x14ac:dyDescent="0.3">
      <c r="A228" s="2">
        <v>45924</v>
      </c>
      <c r="B228" t="s">
        <v>10</v>
      </c>
      <c r="C228" t="s">
        <v>8</v>
      </c>
      <c r="D228">
        <v>9034.56</v>
      </c>
      <c r="E228">
        <v>233</v>
      </c>
      <c r="F228">
        <v>79</v>
      </c>
      <c r="G228">
        <v>419145.87</v>
      </c>
      <c r="H228" s="7">
        <f t="shared" si="9"/>
        <v>33.9056</v>
      </c>
      <c r="I228">
        <f t="shared" si="10"/>
        <v>45.393599999999999</v>
      </c>
      <c r="J228" t="str">
        <f t="shared" si="11"/>
        <v>Positive</v>
      </c>
    </row>
    <row r="229" spans="1:10" x14ac:dyDescent="0.3">
      <c r="A229" s="2">
        <v>45713</v>
      </c>
      <c r="B229" t="s">
        <v>10</v>
      </c>
      <c r="C229" t="s">
        <v>9</v>
      </c>
      <c r="D229">
        <v>7077.21</v>
      </c>
      <c r="E229">
        <v>191</v>
      </c>
      <c r="F229">
        <v>27</v>
      </c>
      <c r="G229">
        <v>70581.42</v>
      </c>
      <c r="H229" s="7">
        <f t="shared" si="9"/>
        <v>14.136100000000001</v>
      </c>
      <c r="I229">
        <f t="shared" si="10"/>
        <v>8.9731000000000005</v>
      </c>
      <c r="J229" t="str">
        <f t="shared" si="11"/>
        <v>Positive</v>
      </c>
    </row>
    <row r="230" spans="1:10" x14ac:dyDescent="0.3">
      <c r="A230" s="2">
        <v>45832</v>
      </c>
      <c r="B230" t="s">
        <v>5</v>
      </c>
      <c r="C230" t="s">
        <v>9</v>
      </c>
      <c r="D230">
        <v>10218.36</v>
      </c>
      <c r="E230">
        <v>213</v>
      </c>
      <c r="F230">
        <v>2</v>
      </c>
      <c r="G230">
        <v>5856.91</v>
      </c>
      <c r="H230" s="7">
        <f t="shared" si="9"/>
        <v>0.93899999999999995</v>
      </c>
      <c r="I230">
        <f t="shared" si="10"/>
        <v>-0.42680000000000001</v>
      </c>
      <c r="J230" t="str">
        <f t="shared" si="11"/>
        <v>Negative</v>
      </c>
    </row>
    <row r="231" spans="1:10" x14ac:dyDescent="0.3">
      <c r="A231" s="2">
        <v>45913</v>
      </c>
      <c r="B231" t="s">
        <v>7</v>
      </c>
      <c r="C231" t="s">
        <v>6</v>
      </c>
      <c r="D231">
        <v>10758.31</v>
      </c>
      <c r="E231">
        <v>62</v>
      </c>
      <c r="F231">
        <v>15</v>
      </c>
      <c r="G231">
        <v>32287.57</v>
      </c>
      <c r="H231" s="7">
        <f t="shared" si="9"/>
        <v>24.1935</v>
      </c>
      <c r="I231">
        <f t="shared" si="10"/>
        <v>2.0011999999999999</v>
      </c>
      <c r="J231" t="str">
        <f t="shared" si="11"/>
        <v>Positive</v>
      </c>
    </row>
    <row r="232" spans="1:10" x14ac:dyDescent="0.3">
      <c r="A232" s="2">
        <v>46010</v>
      </c>
      <c r="B232" t="s">
        <v>10</v>
      </c>
      <c r="C232" t="s">
        <v>6</v>
      </c>
      <c r="D232">
        <v>13149.35</v>
      </c>
      <c r="E232">
        <v>29</v>
      </c>
      <c r="F232">
        <v>8</v>
      </c>
      <c r="G232">
        <v>22513.66</v>
      </c>
      <c r="H232" s="7">
        <f t="shared" si="9"/>
        <v>27.586200000000002</v>
      </c>
      <c r="I232">
        <f t="shared" si="10"/>
        <v>0.71220000000000006</v>
      </c>
      <c r="J232" t="str">
        <f t="shared" si="11"/>
        <v>Positive</v>
      </c>
    </row>
    <row r="233" spans="1:10" x14ac:dyDescent="0.3">
      <c r="A233" s="2">
        <v>45692</v>
      </c>
      <c r="B233" t="s">
        <v>10</v>
      </c>
      <c r="C233" t="s">
        <v>9</v>
      </c>
      <c r="D233">
        <v>4167.7299999999996</v>
      </c>
      <c r="E233">
        <v>41</v>
      </c>
      <c r="F233">
        <v>1</v>
      </c>
      <c r="G233">
        <v>3397.39</v>
      </c>
      <c r="H233" s="7">
        <f t="shared" si="9"/>
        <v>2.4390000000000001</v>
      </c>
      <c r="I233">
        <f t="shared" si="10"/>
        <v>-0.18479999999999999</v>
      </c>
      <c r="J233" t="str">
        <f t="shared" si="11"/>
        <v>Negative</v>
      </c>
    </row>
    <row r="234" spans="1:10" x14ac:dyDescent="0.3">
      <c r="A234" s="2">
        <v>45923</v>
      </c>
      <c r="B234" t="s">
        <v>10</v>
      </c>
      <c r="C234" t="s">
        <v>8</v>
      </c>
      <c r="D234">
        <v>10198.08</v>
      </c>
      <c r="E234">
        <v>31</v>
      </c>
      <c r="F234">
        <v>7</v>
      </c>
      <c r="G234">
        <v>14723.55</v>
      </c>
      <c r="H234" s="7">
        <f t="shared" si="9"/>
        <v>22.5806</v>
      </c>
      <c r="I234">
        <f t="shared" si="10"/>
        <v>0.44379999999999997</v>
      </c>
      <c r="J234" t="str">
        <f t="shared" si="11"/>
        <v>Positive</v>
      </c>
    </row>
    <row r="235" spans="1:10" x14ac:dyDescent="0.3">
      <c r="A235" s="2">
        <v>45920</v>
      </c>
      <c r="B235" t="s">
        <v>5</v>
      </c>
      <c r="C235" t="s">
        <v>9</v>
      </c>
      <c r="D235">
        <v>14564.99</v>
      </c>
      <c r="E235">
        <v>91</v>
      </c>
      <c r="F235">
        <v>11</v>
      </c>
      <c r="G235">
        <v>64153.9</v>
      </c>
      <c r="H235" s="7">
        <f t="shared" si="9"/>
        <v>12.087899999999999</v>
      </c>
      <c r="I235">
        <f t="shared" si="10"/>
        <v>3.4047000000000001</v>
      </c>
      <c r="J235" t="str">
        <f t="shared" si="11"/>
        <v>Positive</v>
      </c>
    </row>
    <row r="236" spans="1:10" x14ac:dyDescent="0.3">
      <c r="A236" s="2">
        <v>45695</v>
      </c>
      <c r="B236" t="s">
        <v>12</v>
      </c>
      <c r="C236" t="s">
        <v>11</v>
      </c>
      <c r="D236">
        <v>9702.74</v>
      </c>
      <c r="E236">
        <v>231</v>
      </c>
      <c r="F236">
        <v>20</v>
      </c>
      <c r="G236">
        <v>84227.56</v>
      </c>
      <c r="H236" s="7">
        <f t="shared" si="9"/>
        <v>8.6579999999999995</v>
      </c>
      <c r="I236">
        <f t="shared" si="10"/>
        <v>7.6807999999999996</v>
      </c>
      <c r="J236" t="str">
        <f t="shared" si="11"/>
        <v>Positive</v>
      </c>
    </row>
    <row r="237" spans="1:10" x14ac:dyDescent="0.3">
      <c r="A237" s="2">
        <v>45802</v>
      </c>
      <c r="B237" t="s">
        <v>5</v>
      </c>
      <c r="C237" t="s">
        <v>14</v>
      </c>
      <c r="D237">
        <v>5060.1499999999996</v>
      </c>
      <c r="E237">
        <v>161</v>
      </c>
      <c r="F237">
        <v>37</v>
      </c>
      <c r="G237">
        <v>184034.12</v>
      </c>
      <c r="H237" s="7">
        <f t="shared" si="9"/>
        <v>22.981400000000001</v>
      </c>
      <c r="I237">
        <f t="shared" si="10"/>
        <v>35.369300000000003</v>
      </c>
      <c r="J237" t="str">
        <f t="shared" si="11"/>
        <v>Positive</v>
      </c>
    </row>
    <row r="238" spans="1:10" x14ac:dyDescent="0.3">
      <c r="A238" s="2">
        <v>45949</v>
      </c>
      <c r="B238" t="s">
        <v>10</v>
      </c>
      <c r="C238" t="s">
        <v>6</v>
      </c>
      <c r="D238">
        <v>1908.57</v>
      </c>
      <c r="E238">
        <v>185</v>
      </c>
      <c r="F238">
        <v>29</v>
      </c>
      <c r="G238">
        <v>79260.52</v>
      </c>
      <c r="H238" s="7">
        <f t="shared" si="9"/>
        <v>15.675700000000001</v>
      </c>
      <c r="I238">
        <f t="shared" si="10"/>
        <v>40.528700000000001</v>
      </c>
      <c r="J238" t="str">
        <f t="shared" si="11"/>
        <v>Positive</v>
      </c>
    </row>
    <row r="239" spans="1:10" x14ac:dyDescent="0.3">
      <c r="A239" s="2">
        <v>45722</v>
      </c>
      <c r="B239" t="s">
        <v>10</v>
      </c>
      <c r="C239" t="s">
        <v>8</v>
      </c>
      <c r="D239">
        <v>7556.37</v>
      </c>
      <c r="E239">
        <v>145</v>
      </c>
      <c r="F239">
        <v>44</v>
      </c>
      <c r="G239">
        <v>252515.42</v>
      </c>
      <c r="H239" s="7">
        <f t="shared" si="9"/>
        <v>30.344799999999999</v>
      </c>
      <c r="I239">
        <f t="shared" si="10"/>
        <v>32.4176</v>
      </c>
      <c r="J239" t="str">
        <f t="shared" si="11"/>
        <v>Positive</v>
      </c>
    </row>
    <row r="240" spans="1:10" x14ac:dyDescent="0.3">
      <c r="A240" s="2">
        <v>45658</v>
      </c>
      <c r="B240" t="s">
        <v>7</v>
      </c>
      <c r="C240" t="s">
        <v>11</v>
      </c>
      <c r="D240">
        <v>3312.85</v>
      </c>
      <c r="E240">
        <v>160</v>
      </c>
      <c r="F240">
        <v>38</v>
      </c>
      <c r="G240">
        <v>190682.9</v>
      </c>
      <c r="H240" s="7">
        <f t="shared" si="9"/>
        <v>23.75</v>
      </c>
      <c r="I240">
        <f t="shared" si="10"/>
        <v>56.558599999999998</v>
      </c>
      <c r="J240" t="str">
        <f t="shared" si="11"/>
        <v>Positive</v>
      </c>
    </row>
    <row r="241" spans="1:10" x14ac:dyDescent="0.3">
      <c r="A241" s="2">
        <v>45815</v>
      </c>
      <c r="B241" t="s">
        <v>7</v>
      </c>
      <c r="C241" t="s">
        <v>8</v>
      </c>
      <c r="D241">
        <v>3187.39</v>
      </c>
      <c r="E241">
        <v>77</v>
      </c>
      <c r="F241">
        <v>4</v>
      </c>
      <c r="G241">
        <v>18523.43</v>
      </c>
      <c r="H241" s="7">
        <f t="shared" si="9"/>
        <v>5.1947999999999999</v>
      </c>
      <c r="I241">
        <f t="shared" si="10"/>
        <v>4.8114999999999997</v>
      </c>
      <c r="J241" t="str">
        <f t="shared" si="11"/>
        <v>Positive</v>
      </c>
    </row>
    <row r="242" spans="1:10" x14ac:dyDescent="0.3">
      <c r="A242" s="2">
        <v>45672</v>
      </c>
      <c r="B242" t="s">
        <v>7</v>
      </c>
      <c r="C242" t="s">
        <v>14</v>
      </c>
      <c r="D242">
        <v>8535.59</v>
      </c>
      <c r="E242">
        <v>162</v>
      </c>
      <c r="F242">
        <v>54</v>
      </c>
      <c r="G242">
        <v>272597.43</v>
      </c>
      <c r="H242" s="7">
        <f t="shared" si="9"/>
        <v>33.333300000000001</v>
      </c>
      <c r="I242">
        <f t="shared" si="10"/>
        <v>30.936599999999999</v>
      </c>
      <c r="J242" t="str">
        <f t="shared" si="11"/>
        <v>Positive</v>
      </c>
    </row>
    <row r="243" spans="1:10" x14ac:dyDescent="0.3">
      <c r="A243" s="2">
        <v>45785</v>
      </c>
      <c r="B243" t="s">
        <v>12</v>
      </c>
      <c r="C243" t="s">
        <v>9</v>
      </c>
      <c r="D243">
        <v>13783.29</v>
      </c>
      <c r="E243">
        <v>160</v>
      </c>
      <c r="F243">
        <v>31</v>
      </c>
      <c r="G243">
        <v>75369.77</v>
      </c>
      <c r="H243" s="7">
        <f t="shared" si="9"/>
        <v>19.375</v>
      </c>
      <c r="I243">
        <f t="shared" si="10"/>
        <v>4.4682000000000004</v>
      </c>
      <c r="J243" t="str">
        <f t="shared" si="11"/>
        <v>Positive</v>
      </c>
    </row>
    <row r="244" spans="1:10" x14ac:dyDescent="0.3">
      <c r="A244" s="2">
        <v>45901</v>
      </c>
      <c r="B244" t="s">
        <v>7</v>
      </c>
      <c r="C244" t="s">
        <v>9</v>
      </c>
      <c r="D244">
        <v>5909.17</v>
      </c>
      <c r="E244">
        <v>35</v>
      </c>
      <c r="F244">
        <v>5</v>
      </c>
      <c r="G244">
        <v>16709.849999999999</v>
      </c>
      <c r="H244" s="7">
        <f t="shared" si="9"/>
        <v>14.2857</v>
      </c>
      <c r="I244">
        <f t="shared" si="10"/>
        <v>1.8278000000000001</v>
      </c>
      <c r="J244" t="str">
        <f t="shared" si="11"/>
        <v>Positive</v>
      </c>
    </row>
    <row r="245" spans="1:10" x14ac:dyDescent="0.3">
      <c r="A245" s="2">
        <v>45977</v>
      </c>
      <c r="B245" t="s">
        <v>13</v>
      </c>
      <c r="C245" t="s">
        <v>14</v>
      </c>
      <c r="D245">
        <v>7542.77</v>
      </c>
      <c r="E245">
        <v>49</v>
      </c>
      <c r="F245">
        <v>18</v>
      </c>
      <c r="G245">
        <v>100388.87</v>
      </c>
      <c r="H245" s="7">
        <f t="shared" si="9"/>
        <v>36.734699999999997</v>
      </c>
      <c r="I245">
        <f t="shared" si="10"/>
        <v>12.3093</v>
      </c>
      <c r="J245" t="str">
        <f t="shared" si="11"/>
        <v>Positive</v>
      </c>
    </row>
    <row r="246" spans="1:10" x14ac:dyDescent="0.3">
      <c r="A246" s="2">
        <v>45847</v>
      </c>
      <c r="B246" t="s">
        <v>13</v>
      </c>
      <c r="C246" t="s">
        <v>14</v>
      </c>
      <c r="D246">
        <v>12022.8</v>
      </c>
      <c r="E246">
        <v>37</v>
      </c>
      <c r="F246">
        <v>2</v>
      </c>
      <c r="G246">
        <v>9579.65</v>
      </c>
      <c r="H246" s="7">
        <f t="shared" si="9"/>
        <v>5.4054000000000002</v>
      </c>
      <c r="I246">
        <f t="shared" si="10"/>
        <v>-0.20319999999999999</v>
      </c>
      <c r="J246" t="str">
        <f t="shared" si="11"/>
        <v>Negative</v>
      </c>
    </row>
    <row r="247" spans="1:10" x14ac:dyDescent="0.3">
      <c r="A247" s="2">
        <v>45949</v>
      </c>
      <c r="B247" t="s">
        <v>12</v>
      </c>
      <c r="C247" t="s">
        <v>9</v>
      </c>
      <c r="D247">
        <v>1699.75</v>
      </c>
      <c r="E247">
        <v>45</v>
      </c>
      <c r="F247">
        <v>18</v>
      </c>
      <c r="G247">
        <v>74617.08</v>
      </c>
      <c r="H247" s="7">
        <f t="shared" si="9"/>
        <v>40</v>
      </c>
      <c r="I247">
        <f t="shared" si="10"/>
        <v>42.898899999999998</v>
      </c>
      <c r="J247" t="str">
        <f t="shared" si="11"/>
        <v>Positive</v>
      </c>
    </row>
    <row r="248" spans="1:10" x14ac:dyDescent="0.3">
      <c r="A248" s="2">
        <v>45971</v>
      </c>
      <c r="B248" t="s">
        <v>10</v>
      </c>
      <c r="C248" t="s">
        <v>6</v>
      </c>
      <c r="D248">
        <v>3764.36</v>
      </c>
      <c r="E248">
        <v>79</v>
      </c>
      <c r="F248">
        <v>9</v>
      </c>
      <c r="G248">
        <v>40741.199999999997</v>
      </c>
      <c r="H248" s="7">
        <f t="shared" si="9"/>
        <v>11.3924</v>
      </c>
      <c r="I248">
        <f t="shared" si="10"/>
        <v>9.8229000000000006</v>
      </c>
      <c r="J248" t="str">
        <f t="shared" si="11"/>
        <v>Positive</v>
      </c>
    </row>
    <row r="249" spans="1:10" x14ac:dyDescent="0.3">
      <c r="A249" s="2">
        <v>45969</v>
      </c>
      <c r="B249" t="s">
        <v>10</v>
      </c>
      <c r="C249" t="s">
        <v>6</v>
      </c>
      <c r="D249">
        <v>12061.05</v>
      </c>
      <c r="E249">
        <v>124</v>
      </c>
      <c r="F249">
        <v>18</v>
      </c>
      <c r="G249">
        <v>59799.69</v>
      </c>
      <c r="H249" s="7">
        <f t="shared" si="9"/>
        <v>14.5161</v>
      </c>
      <c r="I249">
        <f t="shared" si="10"/>
        <v>3.9581</v>
      </c>
      <c r="J249" t="str">
        <f t="shared" si="11"/>
        <v>Positive</v>
      </c>
    </row>
    <row r="250" spans="1:10" x14ac:dyDescent="0.3">
      <c r="A250" s="2">
        <v>45671</v>
      </c>
      <c r="B250" t="s">
        <v>7</v>
      </c>
      <c r="C250" t="s">
        <v>8</v>
      </c>
      <c r="D250">
        <v>5614.26</v>
      </c>
      <c r="E250">
        <v>99</v>
      </c>
      <c r="F250">
        <v>1</v>
      </c>
      <c r="G250">
        <v>3385.22</v>
      </c>
      <c r="H250" s="7">
        <f t="shared" si="9"/>
        <v>1.0101</v>
      </c>
      <c r="I250">
        <f t="shared" si="10"/>
        <v>-0.39700000000000002</v>
      </c>
      <c r="J250" t="str">
        <f t="shared" si="11"/>
        <v>Negative</v>
      </c>
    </row>
    <row r="251" spans="1:10" x14ac:dyDescent="0.3">
      <c r="A251" s="2">
        <v>45945</v>
      </c>
      <c r="B251" t="s">
        <v>5</v>
      </c>
      <c r="C251" t="s">
        <v>9</v>
      </c>
      <c r="D251">
        <v>13055.25</v>
      </c>
      <c r="E251">
        <v>121</v>
      </c>
      <c r="F251">
        <v>13</v>
      </c>
      <c r="G251">
        <v>22587.54</v>
      </c>
      <c r="H251" s="7">
        <f t="shared" si="9"/>
        <v>10.7438</v>
      </c>
      <c r="I251">
        <f t="shared" si="10"/>
        <v>0.73009999999999997</v>
      </c>
      <c r="J251" t="str">
        <f t="shared" si="11"/>
        <v>Positive</v>
      </c>
    </row>
    <row r="252" spans="1:10" x14ac:dyDescent="0.3">
      <c r="A252" s="2">
        <v>45934</v>
      </c>
      <c r="B252" t="s">
        <v>13</v>
      </c>
      <c r="C252" t="s">
        <v>9</v>
      </c>
      <c r="D252">
        <v>1553.02</v>
      </c>
      <c r="E252">
        <v>136</v>
      </c>
      <c r="F252">
        <v>33</v>
      </c>
      <c r="G252">
        <v>179943.89</v>
      </c>
      <c r="H252" s="7">
        <f t="shared" si="9"/>
        <v>24.264700000000001</v>
      </c>
      <c r="I252">
        <f t="shared" si="10"/>
        <v>114.86709999999999</v>
      </c>
      <c r="J252" t="str">
        <f t="shared" si="11"/>
        <v>Positive</v>
      </c>
    </row>
    <row r="253" spans="1:10" x14ac:dyDescent="0.3">
      <c r="A253" s="2">
        <v>45993</v>
      </c>
      <c r="B253" t="s">
        <v>7</v>
      </c>
      <c r="C253" t="s">
        <v>8</v>
      </c>
      <c r="D253">
        <v>6659.36</v>
      </c>
      <c r="E253">
        <v>209</v>
      </c>
      <c r="F253">
        <v>24</v>
      </c>
      <c r="G253">
        <v>111276.32</v>
      </c>
      <c r="H253" s="7">
        <f t="shared" si="9"/>
        <v>11.4833</v>
      </c>
      <c r="I253">
        <f t="shared" si="10"/>
        <v>15.7098</v>
      </c>
      <c r="J253" t="str">
        <f t="shared" si="11"/>
        <v>Positive</v>
      </c>
    </row>
    <row r="254" spans="1:10" x14ac:dyDescent="0.3">
      <c r="A254" s="2">
        <v>45795</v>
      </c>
      <c r="B254" t="s">
        <v>7</v>
      </c>
      <c r="C254" t="s">
        <v>8</v>
      </c>
      <c r="D254">
        <v>2490.4499999999998</v>
      </c>
      <c r="E254">
        <v>94</v>
      </c>
      <c r="F254">
        <v>26</v>
      </c>
      <c r="G254">
        <v>69981.59</v>
      </c>
      <c r="H254" s="7">
        <f t="shared" si="9"/>
        <v>27.659600000000001</v>
      </c>
      <c r="I254">
        <f t="shared" si="10"/>
        <v>27.1</v>
      </c>
      <c r="J254" t="str">
        <f t="shared" si="11"/>
        <v>Positive</v>
      </c>
    </row>
    <row r="255" spans="1:10" x14ac:dyDescent="0.3">
      <c r="A255" s="2">
        <v>46022</v>
      </c>
      <c r="B255" t="s">
        <v>10</v>
      </c>
      <c r="C255" t="s">
        <v>14</v>
      </c>
      <c r="D255">
        <v>5879.31</v>
      </c>
      <c r="E255">
        <v>114</v>
      </c>
      <c r="F255">
        <v>15</v>
      </c>
      <c r="G255">
        <v>23885.32</v>
      </c>
      <c r="H255" s="7">
        <f t="shared" si="9"/>
        <v>13.1579</v>
      </c>
      <c r="I255">
        <f t="shared" si="10"/>
        <v>3.0626000000000002</v>
      </c>
      <c r="J255" t="str">
        <f t="shared" si="11"/>
        <v>Positive</v>
      </c>
    </row>
    <row r="256" spans="1:10" x14ac:dyDescent="0.3">
      <c r="A256" s="2">
        <v>45668</v>
      </c>
      <c r="B256" t="s">
        <v>5</v>
      </c>
      <c r="C256" t="s">
        <v>9</v>
      </c>
      <c r="D256">
        <v>6565.97</v>
      </c>
      <c r="E256">
        <v>208</v>
      </c>
      <c r="F256">
        <v>45</v>
      </c>
      <c r="G256">
        <v>82829.81</v>
      </c>
      <c r="H256" s="7">
        <f t="shared" si="9"/>
        <v>21.634599999999999</v>
      </c>
      <c r="I256">
        <f t="shared" si="10"/>
        <v>11.615</v>
      </c>
      <c r="J256" t="str">
        <f t="shared" si="11"/>
        <v>Positive</v>
      </c>
    </row>
    <row r="257" spans="1:10" x14ac:dyDescent="0.3">
      <c r="A257" s="2">
        <v>45853</v>
      </c>
      <c r="B257" t="s">
        <v>7</v>
      </c>
      <c r="C257" t="s">
        <v>6</v>
      </c>
      <c r="D257">
        <v>4399.6899999999996</v>
      </c>
      <c r="E257">
        <v>118</v>
      </c>
      <c r="F257">
        <v>40</v>
      </c>
      <c r="G257">
        <v>114366.14</v>
      </c>
      <c r="H257" s="7">
        <f t="shared" si="9"/>
        <v>33.898299999999999</v>
      </c>
      <c r="I257">
        <f t="shared" si="10"/>
        <v>24.9941</v>
      </c>
      <c r="J257" t="str">
        <f t="shared" si="11"/>
        <v>Positive</v>
      </c>
    </row>
    <row r="258" spans="1:10" x14ac:dyDescent="0.3">
      <c r="A258" s="2">
        <v>45695</v>
      </c>
      <c r="B258" t="s">
        <v>5</v>
      </c>
      <c r="C258" t="s">
        <v>8</v>
      </c>
      <c r="D258">
        <v>7552.37</v>
      </c>
      <c r="E258">
        <v>238</v>
      </c>
      <c r="F258">
        <v>76</v>
      </c>
      <c r="G258">
        <v>408788.5</v>
      </c>
      <c r="H258" s="7">
        <f t="shared" ref="H258:H321" si="12">ROUND((F258/E258)*100,4)</f>
        <v>31.9328</v>
      </c>
      <c r="I258">
        <f t="shared" ref="I258:I321" si="13">ROUND(((G258-D258)/D258),4)</f>
        <v>53.127200000000002</v>
      </c>
      <c r="J258" t="str">
        <f t="shared" si="11"/>
        <v>Positive</v>
      </c>
    </row>
    <row r="259" spans="1:10" x14ac:dyDescent="0.3">
      <c r="A259" s="2">
        <v>46010</v>
      </c>
      <c r="B259" t="s">
        <v>13</v>
      </c>
      <c r="C259" t="s">
        <v>8</v>
      </c>
      <c r="D259">
        <v>12069.67</v>
      </c>
      <c r="E259">
        <v>80</v>
      </c>
      <c r="F259">
        <v>15</v>
      </c>
      <c r="G259">
        <v>62089.2</v>
      </c>
      <c r="H259" s="7">
        <f t="shared" si="12"/>
        <v>18.75</v>
      </c>
      <c r="I259">
        <f t="shared" si="13"/>
        <v>4.1441999999999997</v>
      </c>
      <c r="J259" t="str">
        <f t="shared" ref="J259:J322" si="14">IF(I259&gt;0,"Positive","Negative")</f>
        <v>Positive</v>
      </c>
    </row>
    <row r="260" spans="1:10" x14ac:dyDescent="0.3">
      <c r="A260" s="2">
        <v>45947</v>
      </c>
      <c r="B260" t="s">
        <v>5</v>
      </c>
      <c r="C260" t="s">
        <v>11</v>
      </c>
      <c r="D260">
        <v>14001.69</v>
      </c>
      <c r="E260">
        <v>80</v>
      </c>
      <c r="F260">
        <v>22</v>
      </c>
      <c r="G260">
        <v>38377.86</v>
      </c>
      <c r="H260" s="7">
        <f t="shared" si="12"/>
        <v>27.5</v>
      </c>
      <c r="I260">
        <f t="shared" si="13"/>
        <v>1.7408999999999999</v>
      </c>
      <c r="J260" t="str">
        <f t="shared" si="14"/>
        <v>Positive</v>
      </c>
    </row>
    <row r="261" spans="1:10" x14ac:dyDescent="0.3">
      <c r="A261" s="2">
        <v>45789</v>
      </c>
      <c r="B261" t="s">
        <v>13</v>
      </c>
      <c r="C261" t="s">
        <v>6</v>
      </c>
      <c r="D261">
        <v>6651.98</v>
      </c>
      <c r="E261">
        <v>211</v>
      </c>
      <c r="F261">
        <v>52</v>
      </c>
      <c r="G261">
        <v>156171.26</v>
      </c>
      <c r="H261" s="7">
        <f t="shared" si="12"/>
        <v>24.644500000000001</v>
      </c>
      <c r="I261">
        <f t="shared" si="13"/>
        <v>22.477399999999999</v>
      </c>
      <c r="J261" t="str">
        <f t="shared" si="14"/>
        <v>Positive</v>
      </c>
    </row>
    <row r="262" spans="1:10" x14ac:dyDescent="0.3">
      <c r="A262" s="2">
        <v>45866</v>
      </c>
      <c r="B262" t="s">
        <v>13</v>
      </c>
      <c r="C262" t="s">
        <v>14</v>
      </c>
      <c r="D262">
        <v>7607.02</v>
      </c>
      <c r="E262">
        <v>109</v>
      </c>
      <c r="F262">
        <v>43</v>
      </c>
      <c r="G262">
        <v>109010.78</v>
      </c>
      <c r="H262" s="7">
        <f t="shared" si="12"/>
        <v>39.4495</v>
      </c>
      <c r="I262">
        <f t="shared" si="13"/>
        <v>13.330299999999999</v>
      </c>
      <c r="J262" t="str">
        <f t="shared" si="14"/>
        <v>Positive</v>
      </c>
    </row>
    <row r="263" spans="1:10" x14ac:dyDescent="0.3">
      <c r="A263" s="2">
        <v>45692</v>
      </c>
      <c r="B263" t="s">
        <v>12</v>
      </c>
      <c r="C263" t="s">
        <v>8</v>
      </c>
      <c r="D263">
        <v>14345.36</v>
      </c>
      <c r="E263">
        <v>21</v>
      </c>
      <c r="F263">
        <v>3</v>
      </c>
      <c r="G263">
        <v>8049.82</v>
      </c>
      <c r="H263" s="7">
        <f t="shared" si="12"/>
        <v>14.2857</v>
      </c>
      <c r="I263">
        <f t="shared" si="13"/>
        <v>-0.43890000000000001</v>
      </c>
      <c r="J263" t="str">
        <f t="shared" si="14"/>
        <v>Negative</v>
      </c>
    </row>
    <row r="264" spans="1:10" x14ac:dyDescent="0.3">
      <c r="A264" s="2">
        <v>45918</v>
      </c>
      <c r="B264" t="s">
        <v>12</v>
      </c>
      <c r="C264" t="s">
        <v>6</v>
      </c>
      <c r="D264">
        <v>10689.31</v>
      </c>
      <c r="E264">
        <v>104</v>
      </c>
      <c r="F264">
        <v>24</v>
      </c>
      <c r="G264">
        <v>138102.76999999999</v>
      </c>
      <c r="H264" s="7">
        <f t="shared" si="12"/>
        <v>23.076899999999998</v>
      </c>
      <c r="I264">
        <f t="shared" si="13"/>
        <v>11.919700000000001</v>
      </c>
      <c r="J264" t="str">
        <f t="shared" si="14"/>
        <v>Positive</v>
      </c>
    </row>
    <row r="265" spans="1:10" x14ac:dyDescent="0.3">
      <c r="A265" s="2">
        <v>45934</v>
      </c>
      <c r="B265" t="s">
        <v>7</v>
      </c>
      <c r="C265" t="s">
        <v>8</v>
      </c>
      <c r="D265">
        <v>1444.66</v>
      </c>
      <c r="E265">
        <v>93</v>
      </c>
      <c r="F265">
        <v>17</v>
      </c>
      <c r="G265">
        <v>77665.570000000007</v>
      </c>
      <c r="H265" s="7">
        <f t="shared" si="12"/>
        <v>18.279599999999999</v>
      </c>
      <c r="I265">
        <f t="shared" si="13"/>
        <v>52.760399999999997</v>
      </c>
      <c r="J265" t="str">
        <f t="shared" si="14"/>
        <v>Positive</v>
      </c>
    </row>
    <row r="266" spans="1:10" x14ac:dyDescent="0.3">
      <c r="A266" s="2">
        <v>45986</v>
      </c>
      <c r="B266" t="s">
        <v>12</v>
      </c>
      <c r="C266" t="s">
        <v>8</v>
      </c>
      <c r="D266">
        <v>14680.19</v>
      </c>
      <c r="E266">
        <v>217</v>
      </c>
      <c r="F266">
        <v>66</v>
      </c>
      <c r="G266">
        <v>216323.09</v>
      </c>
      <c r="H266" s="7">
        <f t="shared" si="12"/>
        <v>30.4147</v>
      </c>
      <c r="I266">
        <f t="shared" si="13"/>
        <v>13.7357</v>
      </c>
      <c r="J266" t="str">
        <f t="shared" si="14"/>
        <v>Positive</v>
      </c>
    </row>
    <row r="267" spans="1:10" x14ac:dyDescent="0.3">
      <c r="A267" s="2">
        <v>45877</v>
      </c>
      <c r="B267" t="s">
        <v>5</v>
      </c>
      <c r="C267" t="s">
        <v>14</v>
      </c>
      <c r="D267">
        <v>12563.49</v>
      </c>
      <c r="E267">
        <v>118</v>
      </c>
      <c r="F267">
        <v>42</v>
      </c>
      <c r="G267">
        <v>201805.35</v>
      </c>
      <c r="H267" s="7">
        <f t="shared" si="12"/>
        <v>35.593200000000003</v>
      </c>
      <c r="I267">
        <f t="shared" si="13"/>
        <v>15.062799999999999</v>
      </c>
      <c r="J267" t="str">
        <f t="shared" si="14"/>
        <v>Positive</v>
      </c>
    </row>
    <row r="268" spans="1:10" x14ac:dyDescent="0.3">
      <c r="A268" s="2">
        <v>46001</v>
      </c>
      <c r="B268" t="s">
        <v>5</v>
      </c>
      <c r="C268" t="s">
        <v>11</v>
      </c>
      <c r="D268">
        <v>6947.01</v>
      </c>
      <c r="E268">
        <v>98</v>
      </c>
      <c r="F268">
        <v>19</v>
      </c>
      <c r="G268">
        <v>67990.61</v>
      </c>
      <c r="H268" s="7">
        <f t="shared" si="12"/>
        <v>19.387799999999999</v>
      </c>
      <c r="I268">
        <f t="shared" si="13"/>
        <v>8.7870000000000008</v>
      </c>
      <c r="J268" t="str">
        <f t="shared" si="14"/>
        <v>Positive</v>
      </c>
    </row>
    <row r="269" spans="1:10" x14ac:dyDescent="0.3">
      <c r="A269" s="2">
        <v>45682</v>
      </c>
      <c r="B269" t="s">
        <v>7</v>
      </c>
      <c r="C269" t="s">
        <v>9</v>
      </c>
      <c r="D269">
        <v>8924.02</v>
      </c>
      <c r="E269">
        <v>22</v>
      </c>
      <c r="F269">
        <v>5</v>
      </c>
      <c r="G269">
        <v>5366.33</v>
      </c>
      <c r="H269" s="7">
        <f t="shared" si="12"/>
        <v>22.7273</v>
      </c>
      <c r="I269">
        <f t="shared" si="13"/>
        <v>-0.3987</v>
      </c>
      <c r="J269" t="str">
        <f t="shared" si="14"/>
        <v>Negative</v>
      </c>
    </row>
    <row r="270" spans="1:10" x14ac:dyDescent="0.3">
      <c r="A270" s="2">
        <v>45760</v>
      </c>
      <c r="B270" t="s">
        <v>13</v>
      </c>
      <c r="C270" t="s">
        <v>14</v>
      </c>
      <c r="D270">
        <v>4785.92</v>
      </c>
      <c r="E270">
        <v>113</v>
      </c>
      <c r="F270">
        <v>16</v>
      </c>
      <c r="G270">
        <v>47235.839999999997</v>
      </c>
      <c r="H270" s="7">
        <f t="shared" si="12"/>
        <v>14.1593</v>
      </c>
      <c r="I270">
        <f t="shared" si="13"/>
        <v>8.8697999999999997</v>
      </c>
      <c r="J270" t="str">
        <f t="shared" si="14"/>
        <v>Positive</v>
      </c>
    </row>
    <row r="271" spans="1:10" x14ac:dyDescent="0.3">
      <c r="A271" s="2">
        <v>45666</v>
      </c>
      <c r="B271" t="s">
        <v>10</v>
      </c>
      <c r="C271" t="s">
        <v>6</v>
      </c>
      <c r="D271">
        <v>12637.32</v>
      </c>
      <c r="E271">
        <v>120</v>
      </c>
      <c r="F271">
        <v>37</v>
      </c>
      <c r="G271">
        <v>66100.84</v>
      </c>
      <c r="H271" s="7">
        <f t="shared" si="12"/>
        <v>30.833300000000001</v>
      </c>
      <c r="I271">
        <f t="shared" si="13"/>
        <v>4.2305999999999999</v>
      </c>
      <c r="J271" t="str">
        <f t="shared" si="14"/>
        <v>Positive</v>
      </c>
    </row>
    <row r="272" spans="1:10" x14ac:dyDescent="0.3">
      <c r="A272" s="2">
        <v>45744</v>
      </c>
      <c r="B272" t="s">
        <v>5</v>
      </c>
      <c r="C272" t="s">
        <v>6</v>
      </c>
      <c r="D272">
        <v>10272.9</v>
      </c>
      <c r="E272">
        <v>208</v>
      </c>
      <c r="F272">
        <v>6</v>
      </c>
      <c r="G272">
        <v>9801.7800000000007</v>
      </c>
      <c r="H272" s="7">
        <f t="shared" si="12"/>
        <v>2.8845999999999998</v>
      </c>
      <c r="I272">
        <f t="shared" si="13"/>
        <v>-4.5900000000000003E-2</v>
      </c>
      <c r="J272" t="str">
        <f t="shared" si="14"/>
        <v>Negative</v>
      </c>
    </row>
    <row r="273" spans="1:10" x14ac:dyDescent="0.3">
      <c r="A273" s="2">
        <v>45977</v>
      </c>
      <c r="B273" t="s">
        <v>13</v>
      </c>
      <c r="C273" t="s">
        <v>9</v>
      </c>
      <c r="D273">
        <v>9030.99</v>
      </c>
      <c r="E273">
        <v>145</v>
      </c>
      <c r="F273">
        <v>6</v>
      </c>
      <c r="G273">
        <v>14681.42</v>
      </c>
      <c r="H273" s="7">
        <f t="shared" si="12"/>
        <v>4.1379000000000001</v>
      </c>
      <c r="I273">
        <f t="shared" si="13"/>
        <v>0.62570000000000003</v>
      </c>
      <c r="J273" t="str">
        <f t="shared" si="14"/>
        <v>Positive</v>
      </c>
    </row>
    <row r="274" spans="1:10" x14ac:dyDescent="0.3">
      <c r="A274" s="2">
        <v>45917</v>
      </c>
      <c r="B274" t="s">
        <v>7</v>
      </c>
      <c r="C274" t="s">
        <v>6</v>
      </c>
      <c r="D274">
        <v>10512.95</v>
      </c>
      <c r="E274">
        <v>45</v>
      </c>
      <c r="F274">
        <v>7</v>
      </c>
      <c r="G274">
        <v>38886.019999999997</v>
      </c>
      <c r="H274" s="7">
        <f t="shared" si="12"/>
        <v>15.5556</v>
      </c>
      <c r="I274">
        <f t="shared" si="13"/>
        <v>2.6989000000000001</v>
      </c>
      <c r="J274" t="str">
        <f t="shared" si="14"/>
        <v>Positive</v>
      </c>
    </row>
    <row r="275" spans="1:10" x14ac:dyDescent="0.3">
      <c r="A275" s="2">
        <v>45659</v>
      </c>
      <c r="B275" t="s">
        <v>13</v>
      </c>
      <c r="C275" t="s">
        <v>11</v>
      </c>
      <c r="D275">
        <v>5060.45</v>
      </c>
      <c r="E275">
        <v>208</v>
      </c>
      <c r="F275">
        <v>64</v>
      </c>
      <c r="G275">
        <v>370607.09</v>
      </c>
      <c r="H275" s="7">
        <f t="shared" si="12"/>
        <v>30.769200000000001</v>
      </c>
      <c r="I275">
        <f t="shared" si="13"/>
        <v>72.236000000000004</v>
      </c>
      <c r="J275" t="str">
        <f t="shared" si="14"/>
        <v>Positive</v>
      </c>
    </row>
    <row r="276" spans="1:10" x14ac:dyDescent="0.3">
      <c r="A276" s="2">
        <v>45845</v>
      </c>
      <c r="B276" t="s">
        <v>12</v>
      </c>
      <c r="C276" t="s">
        <v>14</v>
      </c>
      <c r="D276">
        <v>1380.42</v>
      </c>
      <c r="E276">
        <v>72</v>
      </c>
      <c r="F276">
        <v>15</v>
      </c>
      <c r="G276">
        <v>86690.65</v>
      </c>
      <c r="H276" s="7">
        <f t="shared" si="12"/>
        <v>20.833300000000001</v>
      </c>
      <c r="I276">
        <f t="shared" si="13"/>
        <v>61.800199999999997</v>
      </c>
      <c r="J276" t="str">
        <f t="shared" si="14"/>
        <v>Positive</v>
      </c>
    </row>
    <row r="277" spans="1:10" x14ac:dyDescent="0.3">
      <c r="A277" s="2">
        <v>45818</v>
      </c>
      <c r="B277" t="s">
        <v>13</v>
      </c>
      <c r="C277" t="s">
        <v>11</v>
      </c>
      <c r="D277">
        <v>3210.75</v>
      </c>
      <c r="E277">
        <v>148</v>
      </c>
      <c r="F277">
        <v>41</v>
      </c>
      <c r="G277">
        <v>42123.19</v>
      </c>
      <c r="H277" s="7">
        <f t="shared" si="12"/>
        <v>27.7027</v>
      </c>
      <c r="I277">
        <f t="shared" si="13"/>
        <v>12.119400000000001</v>
      </c>
      <c r="J277" t="str">
        <f t="shared" si="14"/>
        <v>Positive</v>
      </c>
    </row>
    <row r="278" spans="1:10" x14ac:dyDescent="0.3">
      <c r="A278" s="2">
        <v>45711</v>
      </c>
      <c r="B278" t="s">
        <v>12</v>
      </c>
      <c r="C278" t="s">
        <v>14</v>
      </c>
      <c r="D278">
        <v>14011.23</v>
      </c>
      <c r="E278">
        <v>228</v>
      </c>
      <c r="F278">
        <v>24</v>
      </c>
      <c r="G278">
        <v>95391.97</v>
      </c>
      <c r="H278" s="7">
        <f t="shared" si="12"/>
        <v>10.526300000000001</v>
      </c>
      <c r="I278">
        <f t="shared" si="13"/>
        <v>5.8083</v>
      </c>
      <c r="J278" t="str">
        <f t="shared" si="14"/>
        <v>Positive</v>
      </c>
    </row>
    <row r="279" spans="1:10" x14ac:dyDescent="0.3">
      <c r="A279" s="2">
        <v>46012</v>
      </c>
      <c r="B279" t="s">
        <v>10</v>
      </c>
      <c r="C279" t="s">
        <v>8</v>
      </c>
      <c r="D279">
        <v>11761.24</v>
      </c>
      <c r="E279">
        <v>162</v>
      </c>
      <c r="F279">
        <v>21</v>
      </c>
      <c r="G279">
        <v>48455.75</v>
      </c>
      <c r="H279" s="7">
        <f t="shared" si="12"/>
        <v>12.962999999999999</v>
      </c>
      <c r="I279">
        <f t="shared" si="13"/>
        <v>3.12</v>
      </c>
      <c r="J279" t="str">
        <f t="shared" si="14"/>
        <v>Positive</v>
      </c>
    </row>
    <row r="280" spans="1:10" x14ac:dyDescent="0.3">
      <c r="A280" s="2">
        <v>45912</v>
      </c>
      <c r="B280" t="s">
        <v>7</v>
      </c>
      <c r="C280" t="s">
        <v>11</v>
      </c>
      <c r="D280">
        <v>8096.66</v>
      </c>
      <c r="E280">
        <v>226</v>
      </c>
      <c r="F280">
        <v>58</v>
      </c>
      <c r="G280">
        <v>86573.57</v>
      </c>
      <c r="H280" s="7">
        <f t="shared" si="12"/>
        <v>25.663699999999999</v>
      </c>
      <c r="I280">
        <f t="shared" si="13"/>
        <v>9.6925000000000008</v>
      </c>
      <c r="J280" t="str">
        <f t="shared" si="14"/>
        <v>Positive</v>
      </c>
    </row>
    <row r="281" spans="1:10" x14ac:dyDescent="0.3">
      <c r="A281" s="2">
        <v>45811</v>
      </c>
      <c r="B281" t="s">
        <v>7</v>
      </c>
      <c r="C281" t="s">
        <v>9</v>
      </c>
      <c r="D281">
        <v>12966.34</v>
      </c>
      <c r="E281">
        <v>52</v>
      </c>
      <c r="F281">
        <v>9</v>
      </c>
      <c r="G281">
        <v>25910.799999999999</v>
      </c>
      <c r="H281" s="7">
        <f t="shared" si="12"/>
        <v>17.307700000000001</v>
      </c>
      <c r="I281">
        <f t="shared" si="13"/>
        <v>0.99829999999999997</v>
      </c>
      <c r="J281" t="str">
        <f t="shared" si="14"/>
        <v>Positive</v>
      </c>
    </row>
    <row r="282" spans="1:10" x14ac:dyDescent="0.3">
      <c r="A282" s="2">
        <v>45724</v>
      </c>
      <c r="B282" t="s">
        <v>10</v>
      </c>
      <c r="C282" t="s">
        <v>14</v>
      </c>
      <c r="D282">
        <v>1667.18</v>
      </c>
      <c r="E282">
        <v>68</v>
      </c>
      <c r="F282">
        <v>26</v>
      </c>
      <c r="G282">
        <v>148650.53</v>
      </c>
      <c r="H282" s="7">
        <f t="shared" si="12"/>
        <v>38.235300000000002</v>
      </c>
      <c r="I282">
        <f t="shared" si="13"/>
        <v>88.162899999999993</v>
      </c>
      <c r="J282" t="str">
        <f t="shared" si="14"/>
        <v>Positive</v>
      </c>
    </row>
    <row r="283" spans="1:10" x14ac:dyDescent="0.3">
      <c r="A283" s="2">
        <v>45845</v>
      </c>
      <c r="B283" t="s">
        <v>7</v>
      </c>
      <c r="C283" t="s">
        <v>11</v>
      </c>
      <c r="D283">
        <v>6476.14</v>
      </c>
      <c r="E283">
        <v>188</v>
      </c>
      <c r="F283">
        <v>24</v>
      </c>
      <c r="G283">
        <v>116178.61</v>
      </c>
      <c r="H283" s="7">
        <f t="shared" si="12"/>
        <v>12.766</v>
      </c>
      <c r="I283">
        <f t="shared" si="13"/>
        <v>16.939499999999999</v>
      </c>
      <c r="J283" t="str">
        <f t="shared" si="14"/>
        <v>Positive</v>
      </c>
    </row>
    <row r="284" spans="1:10" x14ac:dyDescent="0.3">
      <c r="A284" s="2">
        <v>45794</v>
      </c>
      <c r="B284" t="s">
        <v>7</v>
      </c>
      <c r="C284" t="s">
        <v>8</v>
      </c>
      <c r="D284">
        <v>8284.81</v>
      </c>
      <c r="E284">
        <v>93</v>
      </c>
      <c r="F284">
        <v>31</v>
      </c>
      <c r="G284">
        <v>106444.94</v>
      </c>
      <c r="H284" s="7">
        <f t="shared" si="12"/>
        <v>33.333300000000001</v>
      </c>
      <c r="I284">
        <f t="shared" si="13"/>
        <v>11.8482</v>
      </c>
      <c r="J284" t="str">
        <f t="shared" si="14"/>
        <v>Positive</v>
      </c>
    </row>
    <row r="285" spans="1:10" x14ac:dyDescent="0.3">
      <c r="A285" s="2">
        <v>45755</v>
      </c>
      <c r="B285" t="s">
        <v>12</v>
      </c>
      <c r="C285" t="s">
        <v>8</v>
      </c>
      <c r="D285">
        <v>4232.68</v>
      </c>
      <c r="E285">
        <v>104</v>
      </c>
      <c r="F285">
        <v>35</v>
      </c>
      <c r="G285">
        <v>102831.01</v>
      </c>
      <c r="H285" s="7">
        <f t="shared" si="12"/>
        <v>33.653799999999997</v>
      </c>
      <c r="I285">
        <f t="shared" si="13"/>
        <v>23.294499999999999</v>
      </c>
      <c r="J285" t="str">
        <f t="shared" si="14"/>
        <v>Positive</v>
      </c>
    </row>
    <row r="286" spans="1:10" x14ac:dyDescent="0.3">
      <c r="A286" s="2">
        <v>45957</v>
      </c>
      <c r="B286" t="s">
        <v>10</v>
      </c>
      <c r="C286" t="s">
        <v>8</v>
      </c>
      <c r="D286">
        <v>8405.7999999999993</v>
      </c>
      <c r="E286">
        <v>220</v>
      </c>
      <c r="F286">
        <v>23</v>
      </c>
      <c r="G286">
        <v>72764.070000000007</v>
      </c>
      <c r="H286" s="7">
        <f t="shared" si="12"/>
        <v>10.454499999999999</v>
      </c>
      <c r="I286">
        <f t="shared" si="13"/>
        <v>7.6563999999999997</v>
      </c>
      <c r="J286" t="str">
        <f t="shared" si="14"/>
        <v>Positive</v>
      </c>
    </row>
    <row r="287" spans="1:10" x14ac:dyDescent="0.3">
      <c r="A287" s="2">
        <v>45988</v>
      </c>
      <c r="B287" t="s">
        <v>13</v>
      </c>
      <c r="C287" t="s">
        <v>14</v>
      </c>
      <c r="D287">
        <v>10735.14</v>
      </c>
      <c r="E287">
        <v>48</v>
      </c>
      <c r="F287">
        <v>6</v>
      </c>
      <c r="G287">
        <v>13959.52</v>
      </c>
      <c r="H287" s="7">
        <f t="shared" si="12"/>
        <v>12.5</v>
      </c>
      <c r="I287">
        <f t="shared" si="13"/>
        <v>0.3004</v>
      </c>
      <c r="J287" t="str">
        <f t="shared" si="14"/>
        <v>Positive</v>
      </c>
    </row>
    <row r="288" spans="1:10" x14ac:dyDescent="0.3">
      <c r="A288" s="2">
        <v>45899</v>
      </c>
      <c r="B288" t="s">
        <v>10</v>
      </c>
      <c r="C288" t="s">
        <v>6</v>
      </c>
      <c r="D288">
        <v>14633.75</v>
      </c>
      <c r="E288">
        <v>113</v>
      </c>
      <c r="F288">
        <v>43</v>
      </c>
      <c r="G288">
        <v>228627.78</v>
      </c>
      <c r="H288" s="7">
        <f t="shared" si="12"/>
        <v>38.053100000000001</v>
      </c>
      <c r="I288">
        <f t="shared" si="13"/>
        <v>14.6233</v>
      </c>
      <c r="J288" t="str">
        <f t="shared" si="14"/>
        <v>Positive</v>
      </c>
    </row>
    <row r="289" spans="1:10" x14ac:dyDescent="0.3">
      <c r="A289" s="2">
        <v>46000</v>
      </c>
      <c r="B289" t="s">
        <v>7</v>
      </c>
      <c r="C289" t="s">
        <v>9</v>
      </c>
      <c r="D289">
        <v>3430.41</v>
      </c>
      <c r="E289">
        <v>64</v>
      </c>
      <c r="F289">
        <v>2</v>
      </c>
      <c r="G289">
        <v>4584.8999999999996</v>
      </c>
      <c r="H289" s="7">
        <f t="shared" si="12"/>
        <v>3.125</v>
      </c>
      <c r="I289">
        <f t="shared" si="13"/>
        <v>0.33650000000000002</v>
      </c>
      <c r="J289" t="str">
        <f t="shared" si="14"/>
        <v>Positive</v>
      </c>
    </row>
    <row r="290" spans="1:10" x14ac:dyDescent="0.3">
      <c r="A290" s="2">
        <v>45901</v>
      </c>
      <c r="B290" t="s">
        <v>5</v>
      </c>
      <c r="C290" t="s">
        <v>11</v>
      </c>
      <c r="D290">
        <v>7339.7</v>
      </c>
      <c r="E290">
        <v>107</v>
      </c>
      <c r="F290">
        <v>37</v>
      </c>
      <c r="G290">
        <v>177873.03</v>
      </c>
      <c r="H290" s="7">
        <f t="shared" si="12"/>
        <v>34.5794</v>
      </c>
      <c r="I290">
        <f t="shared" si="13"/>
        <v>23.234400000000001</v>
      </c>
      <c r="J290" t="str">
        <f t="shared" si="14"/>
        <v>Positive</v>
      </c>
    </row>
    <row r="291" spans="1:10" x14ac:dyDescent="0.3">
      <c r="A291" s="2">
        <v>45985</v>
      </c>
      <c r="B291" t="s">
        <v>5</v>
      </c>
      <c r="C291" t="s">
        <v>11</v>
      </c>
      <c r="D291">
        <v>13959.89</v>
      </c>
      <c r="E291">
        <v>77</v>
      </c>
      <c r="F291">
        <v>28</v>
      </c>
      <c r="G291">
        <v>154738.95000000001</v>
      </c>
      <c r="H291" s="7">
        <f t="shared" si="12"/>
        <v>36.363599999999998</v>
      </c>
      <c r="I291">
        <f t="shared" si="13"/>
        <v>10.0845</v>
      </c>
      <c r="J291" t="str">
        <f t="shared" si="14"/>
        <v>Positive</v>
      </c>
    </row>
    <row r="292" spans="1:10" x14ac:dyDescent="0.3">
      <c r="A292" s="2">
        <v>45841</v>
      </c>
      <c r="B292" t="s">
        <v>7</v>
      </c>
      <c r="C292" t="s">
        <v>9</v>
      </c>
      <c r="D292">
        <v>9499.7099999999991</v>
      </c>
      <c r="E292">
        <v>220</v>
      </c>
      <c r="F292">
        <v>11</v>
      </c>
      <c r="G292">
        <v>62973.33</v>
      </c>
      <c r="H292" s="7">
        <f t="shared" si="12"/>
        <v>5</v>
      </c>
      <c r="I292">
        <f t="shared" si="13"/>
        <v>5.6289999999999996</v>
      </c>
      <c r="J292" t="str">
        <f t="shared" si="14"/>
        <v>Positive</v>
      </c>
    </row>
    <row r="293" spans="1:10" x14ac:dyDescent="0.3">
      <c r="A293" s="2">
        <v>45905</v>
      </c>
      <c r="B293" t="s">
        <v>12</v>
      </c>
      <c r="C293" t="s">
        <v>6</v>
      </c>
      <c r="D293">
        <v>4810.6899999999996</v>
      </c>
      <c r="E293">
        <v>102</v>
      </c>
      <c r="F293">
        <v>38</v>
      </c>
      <c r="G293">
        <v>184548.28</v>
      </c>
      <c r="H293" s="7">
        <f t="shared" si="12"/>
        <v>37.254899999999999</v>
      </c>
      <c r="I293">
        <f t="shared" si="13"/>
        <v>37.362099999999998</v>
      </c>
      <c r="J293" t="str">
        <f t="shared" si="14"/>
        <v>Positive</v>
      </c>
    </row>
    <row r="294" spans="1:10" x14ac:dyDescent="0.3">
      <c r="A294" s="2">
        <v>45833</v>
      </c>
      <c r="B294" t="s">
        <v>7</v>
      </c>
      <c r="C294" t="s">
        <v>11</v>
      </c>
      <c r="D294">
        <v>13174.49</v>
      </c>
      <c r="E294">
        <v>83</v>
      </c>
      <c r="F294">
        <v>13</v>
      </c>
      <c r="G294">
        <v>30223.63</v>
      </c>
      <c r="H294" s="7">
        <f t="shared" si="12"/>
        <v>15.662699999999999</v>
      </c>
      <c r="I294">
        <f t="shared" si="13"/>
        <v>1.2941</v>
      </c>
      <c r="J294" t="str">
        <f t="shared" si="14"/>
        <v>Positive</v>
      </c>
    </row>
    <row r="295" spans="1:10" x14ac:dyDescent="0.3">
      <c r="A295" s="2">
        <v>45981</v>
      </c>
      <c r="B295" t="s">
        <v>5</v>
      </c>
      <c r="C295" t="s">
        <v>6</v>
      </c>
      <c r="D295">
        <v>4916.1000000000004</v>
      </c>
      <c r="E295">
        <v>119</v>
      </c>
      <c r="F295">
        <v>8</v>
      </c>
      <c r="G295">
        <v>45957.8</v>
      </c>
      <c r="H295" s="7">
        <f t="shared" si="12"/>
        <v>6.7226999999999997</v>
      </c>
      <c r="I295">
        <f t="shared" si="13"/>
        <v>8.3483999999999998</v>
      </c>
      <c r="J295" t="str">
        <f t="shared" si="14"/>
        <v>Positive</v>
      </c>
    </row>
    <row r="296" spans="1:10" x14ac:dyDescent="0.3">
      <c r="A296" s="2">
        <v>45968</v>
      </c>
      <c r="B296" t="s">
        <v>10</v>
      </c>
      <c r="C296" t="s">
        <v>11</v>
      </c>
      <c r="D296">
        <v>3171.47</v>
      </c>
      <c r="E296">
        <v>210</v>
      </c>
      <c r="F296">
        <v>50</v>
      </c>
      <c r="G296">
        <v>158017.19</v>
      </c>
      <c r="H296" s="7">
        <f t="shared" si="12"/>
        <v>23.8095</v>
      </c>
      <c r="I296">
        <f t="shared" si="13"/>
        <v>48.824599999999997</v>
      </c>
      <c r="J296" t="str">
        <f t="shared" si="14"/>
        <v>Positive</v>
      </c>
    </row>
    <row r="297" spans="1:10" x14ac:dyDescent="0.3">
      <c r="A297" s="2">
        <v>45809</v>
      </c>
      <c r="B297" t="s">
        <v>10</v>
      </c>
      <c r="C297" t="s">
        <v>6</v>
      </c>
      <c r="D297">
        <v>11745.37</v>
      </c>
      <c r="E297">
        <v>146</v>
      </c>
      <c r="F297">
        <v>13</v>
      </c>
      <c r="G297">
        <v>27305.71</v>
      </c>
      <c r="H297" s="7">
        <f t="shared" si="12"/>
        <v>8.9040999999999997</v>
      </c>
      <c r="I297">
        <f t="shared" si="13"/>
        <v>1.3248</v>
      </c>
      <c r="J297" t="str">
        <f t="shared" si="14"/>
        <v>Positive</v>
      </c>
    </row>
    <row r="298" spans="1:10" x14ac:dyDescent="0.3">
      <c r="A298" s="2">
        <v>45666</v>
      </c>
      <c r="B298" t="s">
        <v>13</v>
      </c>
      <c r="C298" t="s">
        <v>6</v>
      </c>
      <c r="D298">
        <v>3702.83</v>
      </c>
      <c r="E298">
        <v>70</v>
      </c>
      <c r="F298">
        <v>19</v>
      </c>
      <c r="G298">
        <v>50853.74</v>
      </c>
      <c r="H298" s="7">
        <f t="shared" si="12"/>
        <v>27.142900000000001</v>
      </c>
      <c r="I298">
        <f t="shared" si="13"/>
        <v>12.733700000000001</v>
      </c>
      <c r="J298" t="str">
        <f t="shared" si="14"/>
        <v>Positive</v>
      </c>
    </row>
    <row r="299" spans="1:10" x14ac:dyDescent="0.3">
      <c r="A299" s="2">
        <v>45791</v>
      </c>
      <c r="B299" t="s">
        <v>12</v>
      </c>
      <c r="C299" t="s">
        <v>11</v>
      </c>
      <c r="D299">
        <v>7323.57</v>
      </c>
      <c r="E299">
        <v>66</v>
      </c>
      <c r="F299">
        <v>8</v>
      </c>
      <c r="G299">
        <v>33963.160000000003</v>
      </c>
      <c r="H299" s="7">
        <f t="shared" si="12"/>
        <v>12.1212</v>
      </c>
      <c r="I299">
        <f t="shared" si="13"/>
        <v>3.6375000000000002</v>
      </c>
      <c r="J299" t="str">
        <f t="shared" si="14"/>
        <v>Positive</v>
      </c>
    </row>
    <row r="300" spans="1:10" x14ac:dyDescent="0.3">
      <c r="A300" s="2">
        <v>45804</v>
      </c>
      <c r="B300" t="s">
        <v>7</v>
      </c>
      <c r="C300" t="s">
        <v>11</v>
      </c>
      <c r="D300">
        <v>14669.08</v>
      </c>
      <c r="E300">
        <v>80</v>
      </c>
      <c r="F300">
        <v>13</v>
      </c>
      <c r="G300">
        <v>54725.4</v>
      </c>
      <c r="H300" s="7">
        <f t="shared" si="12"/>
        <v>16.25</v>
      </c>
      <c r="I300">
        <f t="shared" si="13"/>
        <v>2.7307000000000001</v>
      </c>
      <c r="J300" t="str">
        <f t="shared" si="14"/>
        <v>Positive</v>
      </c>
    </row>
    <row r="301" spans="1:10" x14ac:dyDescent="0.3">
      <c r="A301" s="2">
        <v>45926</v>
      </c>
      <c r="B301" t="s">
        <v>13</v>
      </c>
      <c r="C301" t="s">
        <v>6</v>
      </c>
      <c r="D301">
        <v>7754.27</v>
      </c>
      <c r="E301">
        <v>102</v>
      </c>
      <c r="F301">
        <v>36</v>
      </c>
      <c r="G301">
        <v>146614.5</v>
      </c>
      <c r="H301" s="7">
        <f t="shared" si="12"/>
        <v>35.2941</v>
      </c>
      <c r="I301">
        <f t="shared" si="13"/>
        <v>17.907599999999999</v>
      </c>
      <c r="J301" t="str">
        <f t="shared" si="14"/>
        <v>Positive</v>
      </c>
    </row>
    <row r="302" spans="1:10" x14ac:dyDescent="0.3">
      <c r="A302" s="2">
        <v>46012</v>
      </c>
      <c r="B302" t="s">
        <v>13</v>
      </c>
      <c r="C302" t="s">
        <v>8</v>
      </c>
      <c r="D302">
        <v>8875.85</v>
      </c>
      <c r="E302">
        <v>95</v>
      </c>
      <c r="F302">
        <v>7</v>
      </c>
      <c r="G302">
        <v>33514.99</v>
      </c>
      <c r="H302" s="7">
        <f t="shared" si="12"/>
        <v>7.3684000000000003</v>
      </c>
      <c r="I302">
        <f t="shared" si="13"/>
        <v>2.7759999999999998</v>
      </c>
      <c r="J302" t="str">
        <f t="shared" si="14"/>
        <v>Positive</v>
      </c>
    </row>
    <row r="303" spans="1:10" x14ac:dyDescent="0.3">
      <c r="A303" s="2">
        <v>45894</v>
      </c>
      <c r="B303" t="s">
        <v>10</v>
      </c>
      <c r="C303" t="s">
        <v>6</v>
      </c>
      <c r="D303">
        <v>9506.52</v>
      </c>
      <c r="E303">
        <v>178</v>
      </c>
      <c r="F303">
        <v>60</v>
      </c>
      <c r="G303">
        <v>210027.77</v>
      </c>
      <c r="H303" s="7">
        <f t="shared" si="12"/>
        <v>33.707900000000002</v>
      </c>
      <c r="I303">
        <f t="shared" si="13"/>
        <v>21.093</v>
      </c>
      <c r="J303" t="str">
        <f t="shared" si="14"/>
        <v>Positive</v>
      </c>
    </row>
    <row r="304" spans="1:10" x14ac:dyDescent="0.3">
      <c r="A304" s="2">
        <v>45861</v>
      </c>
      <c r="B304" t="s">
        <v>7</v>
      </c>
      <c r="C304" t="s">
        <v>11</v>
      </c>
      <c r="D304">
        <v>9183.44</v>
      </c>
      <c r="E304">
        <v>122</v>
      </c>
      <c r="F304">
        <v>31</v>
      </c>
      <c r="G304">
        <v>58563.95</v>
      </c>
      <c r="H304" s="7">
        <f t="shared" si="12"/>
        <v>25.409800000000001</v>
      </c>
      <c r="I304">
        <f t="shared" si="13"/>
        <v>5.3771000000000004</v>
      </c>
      <c r="J304" t="str">
        <f t="shared" si="14"/>
        <v>Positive</v>
      </c>
    </row>
    <row r="305" spans="1:10" x14ac:dyDescent="0.3">
      <c r="A305" s="2">
        <v>45723</v>
      </c>
      <c r="B305" t="s">
        <v>7</v>
      </c>
      <c r="C305" t="s">
        <v>11</v>
      </c>
      <c r="D305">
        <v>12614.94</v>
      </c>
      <c r="E305">
        <v>246</v>
      </c>
      <c r="F305">
        <v>38</v>
      </c>
      <c r="G305">
        <v>39043.980000000003</v>
      </c>
      <c r="H305" s="7">
        <f t="shared" si="12"/>
        <v>15.4472</v>
      </c>
      <c r="I305">
        <f t="shared" si="13"/>
        <v>2.0951</v>
      </c>
      <c r="J305" t="str">
        <f t="shared" si="14"/>
        <v>Positive</v>
      </c>
    </row>
    <row r="306" spans="1:10" x14ac:dyDescent="0.3">
      <c r="A306" s="2">
        <v>45977</v>
      </c>
      <c r="B306" t="s">
        <v>10</v>
      </c>
      <c r="C306" t="s">
        <v>9</v>
      </c>
      <c r="D306">
        <v>12603.99</v>
      </c>
      <c r="E306">
        <v>198</v>
      </c>
      <c r="F306">
        <v>23</v>
      </c>
      <c r="G306">
        <v>123403.03</v>
      </c>
      <c r="H306" s="7">
        <f t="shared" si="12"/>
        <v>11.616199999999999</v>
      </c>
      <c r="I306">
        <f t="shared" si="13"/>
        <v>8.7908000000000008</v>
      </c>
      <c r="J306" t="str">
        <f t="shared" si="14"/>
        <v>Positive</v>
      </c>
    </row>
    <row r="307" spans="1:10" x14ac:dyDescent="0.3">
      <c r="A307" s="2">
        <v>45661</v>
      </c>
      <c r="B307" t="s">
        <v>5</v>
      </c>
      <c r="C307" t="s">
        <v>9</v>
      </c>
      <c r="D307">
        <v>14918.05</v>
      </c>
      <c r="E307">
        <v>61</v>
      </c>
      <c r="F307">
        <v>21</v>
      </c>
      <c r="G307">
        <v>53221.54</v>
      </c>
      <c r="H307" s="7">
        <f t="shared" si="12"/>
        <v>34.426200000000001</v>
      </c>
      <c r="I307">
        <f t="shared" si="13"/>
        <v>2.5676000000000001</v>
      </c>
      <c r="J307" t="str">
        <f t="shared" si="14"/>
        <v>Positive</v>
      </c>
    </row>
    <row r="308" spans="1:10" x14ac:dyDescent="0.3">
      <c r="A308" s="2">
        <v>45703</v>
      </c>
      <c r="B308" t="s">
        <v>5</v>
      </c>
      <c r="C308" t="s">
        <v>6</v>
      </c>
      <c r="D308">
        <v>11256.45</v>
      </c>
      <c r="E308">
        <v>74</v>
      </c>
      <c r="F308">
        <v>11</v>
      </c>
      <c r="G308">
        <v>50123</v>
      </c>
      <c r="H308" s="7">
        <f t="shared" si="12"/>
        <v>14.8649</v>
      </c>
      <c r="I308">
        <f t="shared" si="13"/>
        <v>3.4527999999999999</v>
      </c>
      <c r="J308" t="str">
        <f t="shared" si="14"/>
        <v>Positive</v>
      </c>
    </row>
    <row r="309" spans="1:10" x14ac:dyDescent="0.3">
      <c r="A309" s="2">
        <v>45984</v>
      </c>
      <c r="B309" t="s">
        <v>5</v>
      </c>
      <c r="C309" t="s">
        <v>8</v>
      </c>
      <c r="D309">
        <v>12860.1</v>
      </c>
      <c r="E309">
        <v>168</v>
      </c>
      <c r="F309">
        <v>37</v>
      </c>
      <c r="G309">
        <v>173955.58</v>
      </c>
      <c r="H309" s="7">
        <f t="shared" si="12"/>
        <v>22.023800000000001</v>
      </c>
      <c r="I309">
        <f t="shared" si="13"/>
        <v>12.5268</v>
      </c>
      <c r="J309" t="str">
        <f t="shared" si="14"/>
        <v>Positive</v>
      </c>
    </row>
    <row r="310" spans="1:10" x14ac:dyDescent="0.3">
      <c r="A310" s="2">
        <v>45977</v>
      </c>
      <c r="B310" t="s">
        <v>10</v>
      </c>
      <c r="C310" t="s">
        <v>8</v>
      </c>
      <c r="D310">
        <v>4660.42</v>
      </c>
      <c r="E310">
        <v>250</v>
      </c>
      <c r="F310">
        <v>57</v>
      </c>
      <c r="G310">
        <v>173364.83</v>
      </c>
      <c r="H310" s="7">
        <f t="shared" si="12"/>
        <v>22.8</v>
      </c>
      <c r="I310">
        <f t="shared" si="13"/>
        <v>36.199399999999997</v>
      </c>
      <c r="J310" t="str">
        <f t="shared" si="14"/>
        <v>Positive</v>
      </c>
    </row>
    <row r="311" spans="1:10" x14ac:dyDescent="0.3">
      <c r="A311" s="2">
        <v>45923</v>
      </c>
      <c r="B311" t="s">
        <v>10</v>
      </c>
      <c r="C311" t="s">
        <v>8</v>
      </c>
      <c r="D311">
        <v>6955.35</v>
      </c>
      <c r="E311">
        <v>128</v>
      </c>
      <c r="F311">
        <v>32</v>
      </c>
      <c r="G311">
        <v>122422.76</v>
      </c>
      <c r="H311" s="7">
        <f t="shared" si="12"/>
        <v>25</v>
      </c>
      <c r="I311">
        <f t="shared" si="13"/>
        <v>16.601199999999999</v>
      </c>
      <c r="J311" t="str">
        <f t="shared" si="14"/>
        <v>Positive</v>
      </c>
    </row>
    <row r="312" spans="1:10" x14ac:dyDescent="0.3">
      <c r="A312" s="2">
        <v>45740</v>
      </c>
      <c r="B312" t="s">
        <v>12</v>
      </c>
      <c r="C312" t="s">
        <v>9</v>
      </c>
      <c r="D312">
        <v>7234.09</v>
      </c>
      <c r="E312">
        <v>195</v>
      </c>
      <c r="F312">
        <v>10</v>
      </c>
      <c r="G312">
        <v>36532.01</v>
      </c>
      <c r="H312" s="7">
        <f t="shared" si="12"/>
        <v>5.1281999999999996</v>
      </c>
      <c r="I312">
        <f t="shared" si="13"/>
        <v>4.05</v>
      </c>
      <c r="J312" t="str">
        <f t="shared" si="14"/>
        <v>Positive</v>
      </c>
    </row>
    <row r="313" spans="1:10" x14ac:dyDescent="0.3">
      <c r="A313" s="2">
        <v>45670</v>
      </c>
      <c r="B313" t="s">
        <v>7</v>
      </c>
      <c r="C313" t="s">
        <v>9</v>
      </c>
      <c r="D313">
        <v>4165.7700000000004</v>
      </c>
      <c r="E313">
        <v>178</v>
      </c>
      <c r="F313">
        <v>30</v>
      </c>
      <c r="G313">
        <v>136663.19</v>
      </c>
      <c r="H313" s="7">
        <f t="shared" si="12"/>
        <v>16.853899999999999</v>
      </c>
      <c r="I313">
        <f t="shared" si="13"/>
        <v>31.8062</v>
      </c>
      <c r="J313" t="str">
        <f t="shared" si="14"/>
        <v>Positive</v>
      </c>
    </row>
    <row r="314" spans="1:10" x14ac:dyDescent="0.3">
      <c r="A314" s="2">
        <v>45911</v>
      </c>
      <c r="B314" t="s">
        <v>7</v>
      </c>
      <c r="C314" t="s">
        <v>14</v>
      </c>
      <c r="D314">
        <v>11712.34</v>
      </c>
      <c r="E314">
        <v>38</v>
      </c>
      <c r="F314">
        <v>5</v>
      </c>
      <c r="G314">
        <v>10974.73</v>
      </c>
      <c r="H314" s="7">
        <f t="shared" si="12"/>
        <v>13.1579</v>
      </c>
      <c r="I314">
        <f t="shared" si="13"/>
        <v>-6.3E-2</v>
      </c>
      <c r="J314" t="str">
        <f t="shared" si="14"/>
        <v>Negative</v>
      </c>
    </row>
    <row r="315" spans="1:10" x14ac:dyDescent="0.3">
      <c r="A315" s="2">
        <v>45911</v>
      </c>
      <c r="B315" t="s">
        <v>10</v>
      </c>
      <c r="C315" t="s">
        <v>8</v>
      </c>
      <c r="D315">
        <v>13090.53</v>
      </c>
      <c r="E315">
        <v>202</v>
      </c>
      <c r="F315">
        <v>16</v>
      </c>
      <c r="G315">
        <v>56544.52</v>
      </c>
      <c r="H315" s="7">
        <f t="shared" si="12"/>
        <v>7.9207999999999998</v>
      </c>
      <c r="I315">
        <f t="shared" si="13"/>
        <v>3.3195000000000001</v>
      </c>
      <c r="J315" t="str">
        <f t="shared" si="14"/>
        <v>Positive</v>
      </c>
    </row>
    <row r="316" spans="1:10" x14ac:dyDescent="0.3">
      <c r="A316" s="2">
        <v>45730</v>
      </c>
      <c r="B316" t="s">
        <v>7</v>
      </c>
      <c r="C316" t="s">
        <v>14</v>
      </c>
      <c r="D316">
        <v>12580.95</v>
      </c>
      <c r="E316">
        <v>219</v>
      </c>
      <c r="F316">
        <v>82</v>
      </c>
      <c r="G316">
        <v>379383.14</v>
      </c>
      <c r="H316" s="7">
        <f t="shared" si="12"/>
        <v>37.442900000000002</v>
      </c>
      <c r="I316">
        <f t="shared" si="13"/>
        <v>29.1554</v>
      </c>
      <c r="J316" t="str">
        <f t="shared" si="14"/>
        <v>Positive</v>
      </c>
    </row>
    <row r="317" spans="1:10" x14ac:dyDescent="0.3">
      <c r="A317" s="2">
        <v>45782</v>
      </c>
      <c r="B317" t="s">
        <v>12</v>
      </c>
      <c r="C317" t="s">
        <v>8</v>
      </c>
      <c r="D317">
        <v>3402.72</v>
      </c>
      <c r="E317">
        <v>150</v>
      </c>
      <c r="F317">
        <v>36</v>
      </c>
      <c r="G317">
        <v>69044.210000000006</v>
      </c>
      <c r="H317" s="7">
        <f t="shared" si="12"/>
        <v>24</v>
      </c>
      <c r="I317">
        <f t="shared" si="13"/>
        <v>19.290900000000001</v>
      </c>
      <c r="J317" t="str">
        <f t="shared" si="14"/>
        <v>Positive</v>
      </c>
    </row>
    <row r="318" spans="1:10" x14ac:dyDescent="0.3">
      <c r="A318" s="2">
        <v>45756</v>
      </c>
      <c r="B318" t="s">
        <v>13</v>
      </c>
      <c r="C318" t="s">
        <v>14</v>
      </c>
      <c r="D318">
        <v>7311.28</v>
      </c>
      <c r="E318">
        <v>37</v>
      </c>
      <c r="F318">
        <v>14</v>
      </c>
      <c r="G318">
        <v>74453.11</v>
      </c>
      <c r="H318" s="7">
        <f t="shared" si="12"/>
        <v>37.837800000000001</v>
      </c>
      <c r="I318">
        <f t="shared" si="13"/>
        <v>9.1832999999999991</v>
      </c>
      <c r="J318" t="str">
        <f t="shared" si="14"/>
        <v>Positive</v>
      </c>
    </row>
    <row r="319" spans="1:10" x14ac:dyDescent="0.3">
      <c r="A319" s="2">
        <v>45822</v>
      </c>
      <c r="B319" t="s">
        <v>12</v>
      </c>
      <c r="C319" t="s">
        <v>14</v>
      </c>
      <c r="D319">
        <v>4727.2700000000004</v>
      </c>
      <c r="E319">
        <v>83</v>
      </c>
      <c r="F319">
        <v>25</v>
      </c>
      <c r="G319">
        <v>33774.97</v>
      </c>
      <c r="H319" s="7">
        <f t="shared" si="12"/>
        <v>30.1205</v>
      </c>
      <c r="I319">
        <f t="shared" si="13"/>
        <v>6.1447000000000003</v>
      </c>
      <c r="J319" t="str">
        <f t="shared" si="14"/>
        <v>Positive</v>
      </c>
    </row>
    <row r="320" spans="1:10" x14ac:dyDescent="0.3">
      <c r="A320" s="2">
        <v>45661</v>
      </c>
      <c r="B320" t="s">
        <v>10</v>
      </c>
      <c r="C320" t="s">
        <v>8</v>
      </c>
      <c r="D320">
        <v>2240</v>
      </c>
      <c r="E320">
        <v>188</v>
      </c>
      <c r="F320">
        <v>49</v>
      </c>
      <c r="G320">
        <v>274179.09000000003</v>
      </c>
      <c r="H320" s="7">
        <f t="shared" si="12"/>
        <v>26.063800000000001</v>
      </c>
      <c r="I320">
        <f t="shared" si="13"/>
        <v>121.4014</v>
      </c>
      <c r="J320" t="str">
        <f t="shared" si="14"/>
        <v>Positive</v>
      </c>
    </row>
    <row r="321" spans="1:10" x14ac:dyDescent="0.3">
      <c r="A321" s="2">
        <v>45916</v>
      </c>
      <c r="B321" t="s">
        <v>7</v>
      </c>
      <c r="C321" t="s">
        <v>11</v>
      </c>
      <c r="D321">
        <v>6088.48</v>
      </c>
      <c r="E321">
        <v>235</v>
      </c>
      <c r="F321">
        <v>43</v>
      </c>
      <c r="G321">
        <v>84849.16</v>
      </c>
      <c r="H321" s="7">
        <f t="shared" si="12"/>
        <v>18.297899999999998</v>
      </c>
      <c r="I321">
        <f t="shared" si="13"/>
        <v>12.936</v>
      </c>
      <c r="J321" t="str">
        <f t="shared" si="14"/>
        <v>Positive</v>
      </c>
    </row>
    <row r="322" spans="1:10" x14ac:dyDescent="0.3">
      <c r="A322" s="2">
        <v>45949</v>
      </c>
      <c r="B322" t="s">
        <v>13</v>
      </c>
      <c r="C322" t="s">
        <v>9</v>
      </c>
      <c r="D322">
        <v>8797.43</v>
      </c>
      <c r="E322">
        <v>49</v>
      </c>
      <c r="F322">
        <v>1</v>
      </c>
      <c r="G322">
        <v>1344.71</v>
      </c>
      <c r="H322" s="7">
        <f t="shared" ref="H322:H385" si="15">ROUND((F322/E322)*100,4)</f>
        <v>2.0407999999999999</v>
      </c>
      <c r="I322">
        <f t="shared" ref="I322:I385" si="16">ROUND(((G322-D322)/D322),4)</f>
        <v>-0.84709999999999996</v>
      </c>
      <c r="J322" t="str">
        <f t="shared" si="14"/>
        <v>Negative</v>
      </c>
    </row>
    <row r="323" spans="1:10" x14ac:dyDescent="0.3">
      <c r="A323" s="2">
        <v>45867</v>
      </c>
      <c r="B323" t="s">
        <v>7</v>
      </c>
      <c r="C323" t="s">
        <v>6</v>
      </c>
      <c r="D323">
        <v>10495.44</v>
      </c>
      <c r="E323">
        <v>195</v>
      </c>
      <c r="F323">
        <v>9</v>
      </c>
      <c r="G323">
        <v>44960.84</v>
      </c>
      <c r="H323" s="7">
        <f t="shared" si="15"/>
        <v>4.6154000000000002</v>
      </c>
      <c r="I323">
        <f t="shared" si="16"/>
        <v>3.2837999999999998</v>
      </c>
      <c r="J323" t="str">
        <f t="shared" ref="J323:J386" si="17">IF(I323&gt;0,"Positive","Negative")</f>
        <v>Positive</v>
      </c>
    </row>
    <row r="324" spans="1:10" x14ac:dyDescent="0.3">
      <c r="A324" s="2">
        <v>45842</v>
      </c>
      <c r="B324" t="s">
        <v>5</v>
      </c>
      <c r="C324" t="s">
        <v>6</v>
      </c>
      <c r="D324">
        <v>13771.07</v>
      </c>
      <c r="E324">
        <v>232</v>
      </c>
      <c r="F324">
        <v>76</v>
      </c>
      <c r="G324">
        <v>107776.26</v>
      </c>
      <c r="H324" s="7">
        <f t="shared" si="15"/>
        <v>32.758600000000001</v>
      </c>
      <c r="I324">
        <f t="shared" si="16"/>
        <v>6.8262999999999998</v>
      </c>
      <c r="J324" t="str">
        <f t="shared" si="17"/>
        <v>Positive</v>
      </c>
    </row>
    <row r="325" spans="1:10" x14ac:dyDescent="0.3">
      <c r="A325" s="2">
        <v>45696</v>
      </c>
      <c r="B325" t="s">
        <v>13</v>
      </c>
      <c r="C325" t="s">
        <v>14</v>
      </c>
      <c r="D325">
        <v>6820.52</v>
      </c>
      <c r="E325">
        <v>140</v>
      </c>
      <c r="F325">
        <v>41</v>
      </c>
      <c r="G325">
        <v>183495.39</v>
      </c>
      <c r="H325" s="7">
        <f t="shared" si="15"/>
        <v>29.285699999999999</v>
      </c>
      <c r="I325">
        <f t="shared" si="16"/>
        <v>25.903400000000001</v>
      </c>
      <c r="J325" t="str">
        <f t="shared" si="17"/>
        <v>Positive</v>
      </c>
    </row>
    <row r="326" spans="1:10" x14ac:dyDescent="0.3">
      <c r="A326" s="2">
        <v>45855</v>
      </c>
      <c r="B326" t="s">
        <v>5</v>
      </c>
      <c r="C326" t="s">
        <v>11</v>
      </c>
      <c r="D326">
        <v>13679.63</v>
      </c>
      <c r="E326">
        <v>57</v>
      </c>
      <c r="F326">
        <v>14</v>
      </c>
      <c r="G326">
        <v>76704.14</v>
      </c>
      <c r="H326" s="7">
        <f t="shared" si="15"/>
        <v>24.561399999999999</v>
      </c>
      <c r="I326">
        <f t="shared" si="16"/>
        <v>4.6071999999999997</v>
      </c>
      <c r="J326" t="str">
        <f t="shared" si="17"/>
        <v>Positive</v>
      </c>
    </row>
    <row r="327" spans="1:10" x14ac:dyDescent="0.3">
      <c r="A327" s="2">
        <v>45726</v>
      </c>
      <c r="B327" t="s">
        <v>5</v>
      </c>
      <c r="C327" t="s">
        <v>9</v>
      </c>
      <c r="D327">
        <v>12869.2</v>
      </c>
      <c r="E327">
        <v>103</v>
      </c>
      <c r="F327">
        <v>28</v>
      </c>
      <c r="G327">
        <v>76793.990000000005</v>
      </c>
      <c r="H327" s="7">
        <f t="shared" si="15"/>
        <v>27.1845</v>
      </c>
      <c r="I327">
        <f t="shared" si="16"/>
        <v>4.9672999999999998</v>
      </c>
      <c r="J327" t="str">
        <f t="shared" si="17"/>
        <v>Positive</v>
      </c>
    </row>
    <row r="328" spans="1:10" x14ac:dyDescent="0.3">
      <c r="A328" s="2">
        <v>45869</v>
      </c>
      <c r="B328" t="s">
        <v>10</v>
      </c>
      <c r="C328" t="s">
        <v>9</v>
      </c>
      <c r="D328">
        <v>8715.43</v>
      </c>
      <c r="E328">
        <v>240</v>
      </c>
      <c r="F328">
        <v>85</v>
      </c>
      <c r="G328">
        <v>397820.64</v>
      </c>
      <c r="H328" s="7">
        <f t="shared" si="15"/>
        <v>35.416699999999999</v>
      </c>
      <c r="I328">
        <f t="shared" si="16"/>
        <v>44.645600000000002</v>
      </c>
      <c r="J328" t="str">
        <f t="shared" si="17"/>
        <v>Positive</v>
      </c>
    </row>
    <row r="329" spans="1:10" x14ac:dyDescent="0.3">
      <c r="A329" s="2">
        <v>45828</v>
      </c>
      <c r="B329" t="s">
        <v>12</v>
      </c>
      <c r="C329" t="s">
        <v>8</v>
      </c>
      <c r="D329">
        <v>12881.55</v>
      </c>
      <c r="E329">
        <v>45</v>
      </c>
      <c r="F329">
        <v>7</v>
      </c>
      <c r="G329">
        <v>20637.59</v>
      </c>
      <c r="H329" s="7">
        <f t="shared" si="15"/>
        <v>15.5556</v>
      </c>
      <c r="I329">
        <f t="shared" si="16"/>
        <v>0.60209999999999997</v>
      </c>
      <c r="J329" t="str">
        <f t="shared" si="17"/>
        <v>Positive</v>
      </c>
    </row>
    <row r="330" spans="1:10" x14ac:dyDescent="0.3">
      <c r="A330" s="2">
        <v>46005</v>
      </c>
      <c r="B330" t="s">
        <v>7</v>
      </c>
      <c r="C330" t="s">
        <v>9</v>
      </c>
      <c r="D330">
        <v>1179.3399999999999</v>
      </c>
      <c r="E330">
        <v>76</v>
      </c>
      <c r="F330">
        <v>14</v>
      </c>
      <c r="G330">
        <v>37030.6</v>
      </c>
      <c r="H330" s="7">
        <f t="shared" si="15"/>
        <v>18.421099999999999</v>
      </c>
      <c r="I330">
        <f t="shared" si="16"/>
        <v>30.3994</v>
      </c>
      <c r="J330" t="str">
        <f t="shared" si="17"/>
        <v>Positive</v>
      </c>
    </row>
    <row r="331" spans="1:10" x14ac:dyDescent="0.3">
      <c r="A331" s="2">
        <v>45962</v>
      </c>
      <c r="B331" t="s">
        <v>13</v>
      </c>
      <c r="C331" t="s">
        <v>8</v>
      </c>
      <c r="D331">
        <v>4336.03</v>
      </c>
      <c r="E331">
        <v>194</v>
      </c>
      <c r="F331">
        <v>41</v>
      </c>
      <c r="G331">
        <v>146332.25</v>
      </c>
      <c r="H331" s="7">
        <f t="shared" si="15"/>
        <v>21.134</v>
      </c>
      <c r="I331">
        <f t="shared" si="16"/>
        <v>32.747999999999998</v>
      </c>
      <c r="J331" t="str">
        <f t="shared" si="17"/>
        <v>Positive</v>
      </c>
    </row>
    <row r="332" spans="1:10" x14ac:dyDescent="0.3">
      <c r="A332" s="2">
        <v>45937</v>
      </c>
      <c r="B332" t="s">
        <v>5</v>
      </c>
      <c r="C332" t="s">
        <v>11</v>
      </c>
      <c r="D332">
        <v>9940.3799999999992</v>
      </c>
      <c r="E332">
        <v>149</v>
      </c>
      <c r="F332">
        <v>55</v>
      </c>
      <c r="G332">
        <v>198989.98</v>
      </c>
      <c r="H332" s="7">
        <f t="shared" si="15"/>
        <v>36.912799999999997</v>
      </c>
      <c r="I332">
        <f t="shared" si="16"/>
        <v>19.0183</v>
      </c>
      <c r="J332" t="str">
        <f t="shared" si="17"/>
        <v>Positive</v>
      </c>
    </row>
    <row r="333" spans="1:10" x14ac:dyDescent="0.3">
      <c r="A333" s="2">
        <v>45816</v>
      </c>
      <c r="B333" t="s">
        <v>5</v>
      </c>
      <c r="C333" t="s">
        <v>11</v>
      </c>
      <c r="D333">
        <v>8012.52</v>
      </c>
      <c r="E333">
        <v>249</v>
      </c>
      <c r="F333">
        <v>95</v>
      </c>
      <c r="G333">
        <v>438156.22</v>
      </c>
      <c r="H333" s="7">
        <f t="shared" si="15"/>
        <v>38.1526</v>
      </c>
      <c r="I333">
        <f t="shared" si="16"/>
        <v>53.683900000000001</v>
      </c>
      <c r="J333" t="str">
        <f t="shared" si="17"/>
        <v>Positive</v>
      </c>
    </row>
    <row r="334" spans="1:10" x14ac:dyDescent="0.3">
      <c r="A334" s="2">
        <v>45911</v>
      </c>
      <c r="B334" t="s">
        <v>10</v>
      </c>
      <c r="C334" t="s">
        <v>9</v>
      </c>
      <c r="D334">
        <v>13477.24</v>
      </c>
      <c r="E334">
        <v>102</v>
      </c>
      <c r="F334">
        <v>18</v>
      </c>
      <c r="G334">
        <v>36147.870000000003</v>
      </c>
      <c r="H334" s="7">
        <f t="shared" si="15"/>
        <v>17.647099999999998</v>
      </c>
      <c r="I334">
        <f t="shared" si="16"/>
        <v>1.6820999999999999</v>
      </c>
      <c r="J334" t="str">
        <f t="shared" si="17"/>
        <v>Positive</v>
      </c>
    </row>
    <row r="335" spans="1:10" x14ac:dyDescent="0.3">
      <c r="A335" s="2">
        <v>46015</v>
      </c>
      <c r="B335" t="s">
        <v>7</v>
      </c>
      <c r="C335" t="s">
        <v>11</v>
      </c>
      <c r="D335">
        <v>11708.84</v>
      </c>
      <c r="E335">
        <v>76</v>
      </c>
      <c r="F335">
        <v>26</v>
      </c>
      <c r="G335">
        <v>85651.45</v>
      </c>
      <c r="H335" s="7">
        <f t="shared" si="15"/>
        <v>34.210500000000003</v>
      </c>
      <c r="I335">
        <f t="shared" si="16"/>
        <v>6.3151000000000002</v>
      </c>
      <c r="J335" t="str">
        <f t="shared" si="17"/>
        <v>Positive</v>
      </c>
    </row>
    <row r="336" spans="1:10" x14ac:dyDescent="0.3">
      <c r="A336" s="2">
        <v>45829</v>
      </c>
      <c r="B336" t="s">
        <v>13</v>
      </c>
      <c r="C336" t="s">
        <v>6</v>
      </c>
      <c r="D336">
        <v>6770.34</v>
      </c>
      <c r="E336">
        <v>185</v>
      </c>
      <c r="F336">
        <v>52</v>
      </c>
      <c r="G336">
        <v>180774.31</v>
      </c>
      <c r="H336" s="7">
        <f t="shared" si="15"/>
        <v>28.1081</v>
      </c>
      <c r="I336">
        <f t="shared" si="16"/>
        <v>25.700900000000001</v>
      </c>
      <c r="J336" t="str">
        <f t="shared" si="17"/>
        <v>Positive</v>
      </c>
    </row>
    <row r="337" spans="1:10" x14ac:dyDescent="0.3">
      <c r="A337" s="2">
        <v>45679</v>
      </c>
      <c r="B337" t="s">
        <v>13</v>
      </c>
      <c r="C337" t="s">
        <v>6</v>
      </c>
      <c r="D337">
        <v>10313.299999999999</v>
      </c>
      <c r="E337">
        <v>193</v>
      </c>
      <c r="F337">
        <v>28</v>
      </c>
      <c r="G337">
        <v>46795.6</v>
      </c>
      <c r="H337" s="7">
        <f t="shared" si="15"/>
        <v>14.5078</v>
      </c>
      <c r="I337">
        <f t="shared" si="16"/>
        <v>3.5373999999999999</v>
      </c>
      <c r="J337" t="str">
        <f t="shared" si="17"/>
        <v>Positive</v>
      </c>
    </row>
    <row r="338" spans="1:10" x14ac:dyDescent="0.3">
      <c r="A338" s="2">
        <v>45850</v>
      </c>
      <c r="B338" t="s">
        <v>5</v>
      </c>
      <c r="C338" t="s">
        <v>6</v>
      </c>
      <c r="D338">
        <v>9840.0400000000009</v>
      </c>
      <c r="E338">
        <v>121</v>
      </c>
      <c r="F338">
        <v>3</v>
      </c>
      <c r="G338">
        <v>11173.5</v>
      </c>
      <c r="H338" s="7">
        <f t="shared" si="15"/>
        <v>2.4792999999999998</v>
      </c>
      <c r="I338">
        <f t="shared" si="16"/>
        <v>0.13550000000000001</v>
      </c>
      <c r="J338" t="str">
        <f t="shared" si="17"/>
        <v>Positive</v>
      </c>
    </row>
    <row r="339" spans="1:10" x14ac:dyDescent="0.3">
      <c r="A339" s="2">
        <v>45829</v>
      </c>
      <c r="B339" t="s">
        <v>13</v>
      </c>
      <c r="C339" t="s">
        <v>14</v>
      </c>
      <c r="D339">
        <v>8894.89</v>
      </c>
      <c r="E339">
        <v>155</v>
      </c>
      <c r="F339">
        <v>61</v>
      </c>
      <c r="G339">
        <v>163288.62</v>
      </c>
      <c r="H339" s="7">
        <f t="shared" si="15"/>
        <v>39.354799999999997</v>
      </c>
      <c r="I339">
        <f t="shared" si="16"/>
        <v>17.357600000000001</v>
      </c>
      <c r="J339" t="str">
        <f t="shared" si="17"/>
        <v>Positive</v>
      </c>
    </row>
    <row r="340" spans="1:10" x14ac:dyDescent="0.3">
      <c r="A340" s="2">
        <v>45785</v>
      </c>
      <c r="B340" t="s">
        <v>5</v>
      </c>
      <c r="C340" t="s">
        <v>6</v>
      </c>
      <c r="D340">
        <v>7013.1</v>
      </c>
      <c r="E340">
        <v>182</v>
      </c>
      <c r="F340">
        <v>61</v>
      </c>
      <c r="G340">
        <v>108726.32</v>
      </c>
      <c r="H340" s="7">
        <f t="shared" si="15"/>
        <v>33.516500000000001</v>
      </c>
      <c r="I340">
        <f t="shared" si="16"/>
        <v>14.503299999999999</v>
      </c>
      <c r="J340" t="str">
        <f t="shared" si="17"/>
        <v>Positive</v>
      </c>
    </row>
    <row r="341" spans="1:10" x14ac:dyDescent="0.3">
      <c r="A341" s="2">
        <v>45786</v>
      </c>
      <c r="B341" t="s">
        <v>12</v>
      </c>
      <c r="C341" t="s">
        <v>11</v>
      </c>
      <c r="D341">
        <v>7288.37</v>
      </c>
      <c r="E341">
        <v>94</v>
      </c>
      <c r="F341">
        <v>25</v>
      </c>
      <c r="G341">
        <v>37598.660000000003</v>
      </c>
      <c r="H341" s="7">
        <f t="shared" si="15"/>
        <v>26.595700000000001</v>
      </c>
      <c r="I341">
        <f t="shared" si="16"/>
        <v>4.1586999999999996</v>
      </c>
      <c r="J341" t="str">
        <f t="shared" si="17"/>
        <v>Positive</v>
      </c>
    </row>
    <row r="342" spans="1:10" x14ac:dyDescent="0.3">
      <c r="A342" s="2">
        <v>45677</v>
      </c>
      <c r="B342" t="s">
        <v>12</v>
      </c>
      <c r="C342" t="s">
        <v>6</v>
      </c>
      <c r="D342">
        <v>10250.5</v>
      </c>
      <c r="E342">
        <v>250</v>
      </c>
      <c r="F342">
        <v>31</v>
      </c>
      <c r="G342">
        <v>140021</v>
      </c>
      <c r="H342" s="7">
        <f t="shared" si="15"/>
        <v>12.4</v>
      </c>
      <c r="I342">
        <f t="shared" si="16"/>
        <v>12.6599</v>
      </c>
      <c r="J342" t="str">
        <f t="shared" si="17"/>
        <v>Positive</v>
      </c>
    </row>
    <row r="343" spans="1:10" x14ac:dyDescent="0.3">
      <c r="A343" s="2">
        <v>45740</v>
      </c>
      <c r="B343" t="s">
        <v>7</v>
      </c>
      <c r="C343" t="s">
        <v>11</v>
      </c>
      <c r="D343">
        <v>8710.83</v>
      </c>
      <c r="E343">
        <v>102</v>
      </c>
      <c r="F343">
        <v>6</v>
      </c>
      <c r="G343">
        <v>25005.75</v>
      </c>
      <c r="H343" s="7">
        <f t="shared" si="15"/>
        <v>5.8823999999999996</v>
      </c>
      <c r="I343">
        <f t="shared" si="16"/>
        <v>1.8707</v>
      </c>
      <c r="J343" t="str">
        <f t="shared" si="17"/>
        <v>Positive</v>
      </c>
    </row>
    <row r="344" spans="1:10" x14ac:dyDescent="0.3">
      <c r="A344" s="2">
        <v>45799</v>
      </c>
      <c r="B344" t="s">
        <v>7</v>
      </c>
      <c r="C344" t="s">
        <v>14</v>
      </c>
      <c r="D344">
        <v>14047.4</v>
      </c>
      <c r="E344">
        <v>171</v>
      </c>
      <c r="F344">
        <v>47</v>
      </c>
      <c r="G344">
        <v>133935.93</v>
      </c>
      <c r="H344" s="7">
        <f t="shared" si="15"/>
        <v>27.485399999999998</v>
      </c>
      <c r="I344">
        <f t="shared" si="16"/>
        <v>8.5345999999999993</v>
      </c>
      <c r="J344" t="str">
        <f t="shared" si="17"/>
        <v>Positive</v>
      </c>
    </row>
    <row r="345" spans="1:10" x14ac:dyDescent="0.3">
      <c r="A345" s="2">
        <v>45855</v>
      </c>
      <c r="B345" t="s">
        <v>13</v>
      </c>
      <c r="C345" t="s">
        <v>14</v>
      </c>
      <c r="D345">
        <v>2748.97</v>
      </c>
      <c r="E345">
        <v>70</v>
      </c>
      <c r="F345">
        <v>11</v>
      </c>
      <c r="G345">
        <v>12760.5</v>
      </c>
      <c r="H345" s="7">
        <f t="shared" si="15"/>
        <v>15.7143</v>
      </c>
      <c r="I345">
        <f t="shared" si="16"/>
        <v>3.6419000000000001</v>
      </c>
      <c r="J345" t="str">
        <f t="shared" si="17"/>
        <v>Positive</v>
      </c>
    </row>
    <row r="346" spans="1:10" x14ac:dyDescent="0.3">
      <c r="A346" s="2">
        <v>45963</v>
      </c>
      <c r="B346" t="s">
        <v>10</v>
      </c>
      <c r="C346" t="s">
        <v>9</v>
      </c>
      <c r="D346">
        <v>14280.6</v>
      </c>
      <c r="E346">
        <v>48</v>
      </c>
      <c r="F346">
        <v>9</v>
      </c>
      <c r="G346">
        <v>53853.760000000002</v>
      </c>
      <c r="H346" s="7">
        <f t="shared" si="15"/>
        <v>18.75</v>
      </c>
      <c r="I346">
        <f t="shared" si="16"/>
        <v>2.7711000000000001</v>
      </c>
      <c r="J346" t="str">
        <f t="shared" si="17"/>
        <v>Positive</v>
      </c>
    </row>
    <row r="347" spans="1:10" x14ac:dyDescent="0.3">
      <c r="A347" s="2">
        <v>45880</v>
      </c>
      <c r="B347" t="s">
        <v>10</v>
      </c>
      <c r="C347" t="s">
        <v>11</v>
      </c>
      <c r="D347">
        <v>13573.93</v>
      </c>
      <c r="E347">
        <v>136</v>
      </c>
      <c r="F347">
        <v>49</v>
      </c>
      <c r="G347">
        <v>292418.53999999998</v>
      </c>
      <c r="H347" s="7">
        <f t="shared" si="15"/>
        <v>36.029400000000003</v>
      </c>
      <c r="I347">
        <f t="shared" si="16"/>
        <v>20.5427</v>
      </c>
      <c r="J347" t="str">
        <f t="shared" si="17"/>
        <v>Positive</v>
      </c>
    </row>
    <row r="348" spans="1:10" x14ac:dyDescent="0.3">
      <c r="A348" s="2">
        <v>45697</v>
      </c>
      <c r="B348" t="s">
        <v>7</v>
      </c>
      <c r="C348" t="s">
        <v>11</v>
      </c>
      <c r="D348">
        <v>14762.93</v>
      </c>
      <c r="E348">
        <v>101</v>
      </c>
      <c r="F348">
        <v>23</v>
      </c>
      <c r="G348">
        <v>40710.239999999998</v>
      </c>
      <c r="H348" s="7">
        <f t="shared" si="15"/>
        <v>22.772300000000001</v>
      </c>
      <c r="I348">
        <f t="shared" si="16"/>
        <v>1.7576000000000001</v>
      </c>
      <c r="J348" t="str">
        <f t="shared" si="17"/>
        <v>Positive</v>
      </c>
    </row>
    <row r="349" spans="1:10" x14ac:dyDescent="0.3">
      <c r="A349" s="2">
        <v>45892</v>
      </c>
      <c r="B349" t="s">
        <v>5</v>
      </c>
      <c r="C349" t="s">
        <v>11</v>
      </c>
      <c r="D349">
        <v>12301.46</v>
      </c>
      <c r="E349">
        <v>150</v>
      </c>
      <c r="F349">
        <v>26</v>
      </c>
      <c r="G349">
        <v>59823.6</v>
      </c>
      <c r="H349" s="7">
        <f t="shared" si="15"/>
        <v>17.333300000000001</v>
      </c>
      <c r="I349">
        <f t="shared" si="16"/>
        <v>3.8631000000000002</v>
      </c>
      <c r="J349" t="str">
        <f t="shared" si="17"/>
        <v>Positive</v>
      </c>
    </row>
    <row r="350" spans="1:10" x14ac:dyDescent="0.3">
      <c r="A350" s="2">
        <v>45735</v>
      </c>
      <c r="B350" t="s">
        <v>7</v>
      </c>
      <c r="C350" t="s">
        <v>6</v>
      </c>
      <c r="D350">
        <v>2896.47</v>
      </c>
      <c r="E350">
        <v>196</v>
      </c>
      <c r="F350">
        <v>28</v>
      </c>
      <c r="G350">
        <v>116451.83</v>
      </c>
      <c r="H350" s="7">
        <f t="shared" si="15"/>
        <v>14.2857</v>
      </c>
      <c r="I350">
        <f t="shared" si="16"/>
        <v>39.204700000000003</v>
      </c>
      <c r="J350" t="str">
        <f t="shared" si="17"/>
        <v>Positive</v>
      </c>
    </row>
    <row r="351" spans="1:10" x14ac:dyDescent="0.3">
      <c r="A351" s="2">
        <v>45957</v>
      </c>
      <c r="B351" t="s">
        <v>5</v>
      </c>
      <c r="C351" t="s">
        <v>11</v>
      </c>
      <c r="D351">
        <v>13145.15</v>
      </c>
      <c r="E351">
        <v>241</v>
      </c>
      <c r="F351">
        <v>9</v>
      </c>
      <c r="G351">
        <v>41542.92</v>
      </c>
      <c r="H351" s="7">
        <f t="shared" si="15"/>
        <v>3.7343999999999999</v>
      </c>
      <c r="I351">
        <f t="shared" si="16"/>
        <v>2.1602999999999999</v>
      </c>
      <c r="J351" t="str">
        <f t="shared" si="17"/>
        <v>Positive</v>
      </c>
    </row>
    <row r="352" spans="1:10" x14ac:dyDescent="0.3">
      <c r="A352" s="2">
        <v>45924</v>
      </c>
      <c r="B352" t="s">
        <v>13</v>
      </c>
      <c r="C352" t="s">
        <v>6</v>
      </c>
      <c r="D352">
        <v>10919.5</v>
      </c>
      <c r="E352">
        <v>22</v>
      </c>
      <c r="F352">
        <v>1</v>
      </c>
      <c r="G352">
        <v>1266.82</v>
      </c>
      <c r="H352" s="7">
        <f t="shared" si="15"/>
        <v>4.5454999999999997</v>
      </c>
      <c r="I352">
        <f t="shared" si="16"/>
        <v>-0.88400000000000001</v>
      </c>
      <c r="J352" t="str">
        <f t="shared" si="17"/>
        <v>Negative</v>
      </c>
    </row>
    <row r="353" spans="1:10" x14ac:dyDescent="0.3">
      <c r="A353" s="2">
        <v>45965</v>
      </c>
      <c r="B353" t="s">
        <v>7</v>
      </c>
      <c r="C353" t="s">
        <v>9</v>
      </c>
      <c r="D353">
        <v>5223.63</v>
      </c>
      <c r="E353">
        <v>217</v>
      </c>
      <c r="F353">
        <v>65</v>
      </c>
      <c r="G353">
        <v>115201.83</v>
      </c>
      <c r="H353" s="7">
        <f t="shared" si="15"/>
        <v>29.953900000000001</v>
      </c>
      <c r="I353">
        <f t="shared" si="16"/>
        <v>21.053999999999998</v>
      </c>
      <c r="J353" t="str">
        <f t="shared" si="17"/>
        <v>Positive</v>
      </c>
    </row>
    <row r="354" spans="1:10" x14ac:dyDescent="0.3">
      <c r="A354" s="2">
        <v>45774</v>
      </c>
      <c r="B354" t="s">
        <v>12</v>
      </c>
      <c r="C354" t="s">
        <v>14</v>
      </c>
      <c r="D354">
        <v>2470.7800000000002</v>
      </c>
      <c r="E354">
        <v>171</v>
      </c>
      <c r="F354">
        <v>54</v>
      </c>
      <c r="G354">
        <v>243136.7</v>
      </c>
      <c r="H354" s="7">
        <f t="shared" si="15"/>
        <v>31.578900000000001</v>
      </c>
      <c r="I354">
        <f t="shared" si="16"/>
        <v>97.404799999999994</v>
      </c>
      <c r="J354" t="str">
        <f t="shared" si="17"/>
        <v>Positive</v>
      </c>
    </row>
    <row r="355" spans="1:10" x14ac:dyDescent="0.3">
      <c r="A355" s="2">
        <v>45898</v>
      </c>
      <c r="B355" t="s">
        <v>10</v>
      </c>
      <c r="C355" t="s">
        <v>8</v>
      </c>
      <c r="D355">
        <v>7848.8</v>
      </c>
      <c r="E355">
        <v>186</v>
      </c>
      <c r="F355">
        <v>71</v>
      </c>
      <c r="G355">
        <v>237426.82</v>
      </c>
      <c r="H355" s="7">
        <f t="shared" si="15"/>
        <v>38.171999999999997</v>
      </c>
      <c r="I355">
        <f t="shared" si="16"/>
        <v>29.2501</v>
      </c>
      <c r="J355" t="str">
        <f t="shared" si="17"/>
        <v>Positive</v>
      </c>
    </row>
    <row r="356" spans="1:10" x14ac:dyDescent="0.3">
      <c r="A356" s="2">
        <v>45829</v>
      </c>
      <c r="B356" t="s">
        <v>7</v>
      </c>
      <c r="C356" t="s">
        <v>9</v>
      </c>
      <c r="D356">
        <v>12937.26</v>
      </c>
      <c r="E356">
        <v>71</v>
      </c>
      <c r="F356">
        <v>27</v>
      </c>
      <c r="G356">
        <v>66030.05</v>
      </c>
      <c r="H356" s="7">
        <f t="shared" si="15"/>
        <v>38.028199999999998</v>
      </c>
      <c r="I356">
        <f t="shared" si="16"/>
        <v>4.1039000000000003</v>
      </c>
      <c r="J356" t="str">
        <f t="shared" si="17"/>
        <v>Positive</v>
      </c>
    </row>
    <row r="357" spans="1:10" x14ac:dyDescent="0.3">
      <c r="A357" s="2">
        <v>45745</v>
      </c>
      <c r="B357" t="s">
        <v>13</v>
      </c>
      <c r="C357" t="s">
        <v>6</v>
      </c>
      <c r="D357">
        <v>11187.82</v>
      </c>
      <c r="E357">
        <v>113</v>
      </c>
      <c r="F357">
        <v>1</v>
      </c>
      <c r="G357">
        <v>4506.3500000000004</v>
      </c>
      <c r="H357" s="7">
        <f t="shared" si="15"/>
        <v>0.88500000000000001</v>
      </c>
      <c r="I357">
        <f t="shared" si="16"/>
        <v>-0.59719999999999995</v>
      </c>
      <c r="J357" t="str">
        <f t="shared" si="17"/>
        <v>Negative</v>
      </c>
    </row>
    <row r="358" spans="1:10" x14ac:dyDescent="0.3">
      <c r="A358" s="2">
        <v>45928</v>
      </c>
      <c r="B358" t="s">
        <v>5</v>
      </c>
      <c r="C358" t="s">
        <v>9</v>
      </c>
      <c r="D358">
        <v>14251.88</v>
      </c>
      <c r="E358">
        <v>212</v>
      </c>
      <c r="F358">
        <v>11</v>
      </c>
      <c r="G358">
        <v>50834.09</v>
      </c>
      <c r="H358" s="7">
        <f t="shared" si="15"/>
        <v>5.1886999999999999</v>
      </c>
      <c r="I358">
        <f t="shared" si="16"/>
        <v>2.5668000000000002</v>
      </c>
      <c r="J358" t="str">
        <f t="shared" si="17"/>
        <v>Positive</v>
      </c>
    </row>
    <row r="359" spans="1:10" x14ac:dyDescent="0.3">
      <c r="A359" s="2">
        <v>46006</v>
      </c>
      <c r="B359" t="s">
        <v>10</v>
      </c>
      <c r="C359" t="s">
        <v>11</v>
      </c>
      <c r="D359">
        <v>11091.82</v>
      </c>
      <c r="E359">
        <v>215</v>
      </c>
      <c r="F359">
        <v>83</v>
      </c>
      <c r="G359">
        <v>158375.65</v>
      </c>
      <c r="H359" s="7">
        <f t="shared" si="15"/>
        <v>38.604700000000001</v>
      </c>
      <c r="I359">
        <f t="shared" si="16"/>
        <v>13.278600000000001</v>
      </c>
      <c r="J359" t="str">
        <f t="shared" si="17"/>
        <v>Positive</v>
      </c>
    </row>
    <row r="360" spans="1:10" x14ac:dyDescent="0.3">
      <c r="A360" s="2">
        <v>45793</v>
      </c>
      <c r="B360" t="s">
        <v>13</v>
      </c>
      <c r="C360" t="s">
        <v>6</v>
      </c>
      <c r="D360">
        <v>12722.48</v>
      </c>
      <c r="E360">
        <v>166</v>
      </c>
      <c r="F360">
        <v>35</v>
      </c>
      <c r="G360">
        <v>122986.73</v>
      </c>
      <c r="H360" s="7">
        <f t="shared" si="15"/>
        <v>21.084299999999999</v>
      </c>
      <c r="I360">
        <f t="shared" si="16"/>
        <v>8.6669</v>
      </c>
      <c r="J360" t="str">
        <f t="shared" si="17"/>
        <v>Positive</v>
      </c>
    </row>
    <row r="361" spans="1:10" x14ac:dyDescent="0.3">
      <c r="A361" s="2">
        <v>45692</v>
      </c>
      <c r="B361" t="s">
        <v>13</v>
      </c>
      <c r="C361" t="s">
        <v>14</v>
      </c>
      <c r="D361">
        <v>11709.01</v>
      </c>
      <c r="E361">
        <v>36</v>
      </c>
      <c r="F361">
        <v>5</v>
      </c>
      <c r="G361">
        <v>8052.41</v>
      </c>
      <c r="H361" s="7">
        <f t="shared" si="15"/>
        <v>13.8889</v>
      </c>
      <c r="I361">
        <f t="shared" si="16"/>
        <v>-0.31230000000000002</v>
      </c>
      <c r="J361" t="str">
        <f t="shared" si="17"/>
        <v>Negative</v>
      </c>
    </row>
    <row r="362" spans="1:10" x14ac:dyDescent="0.3">
      <c r="A362" s="2">
        <v>45987</v>
      </c>
      <c r="B362" t="s">
        <v>5</v>
      </c>
      <c r="C362" t="s">
        <v>14</v>
      </c>
      <c r="D362">
        <v>2714.06</v>
      </c>
      <c r="E362">
        <v>90</v>
      </c>
      <c r="F362">
        <v>8</v>
      </c>
      <c r="G362">
        <v>33658.33</v>
      </c>
      <c r="H362" s="7">
        <f t="shared" si="15"/>
        <v>8.8888999999999996</v>
      </c>
      <c r="I362">
        <f t="shared" si="16"/>
        <v>11.4015</v>
      </c>
      <c r="J362" t="str">
        <f t="shared" si="17"/>
        <v>Positive</v>
      </c>
    </row>
    <row r="363" spans="1:10" x14ac:dyDescent="0.3">
      <c r="A363" s="2">
        <v>45862</v>
      </c>
      <c r="B363" t="s">
        <v>13</v>
      </c>
      <c r="C363" t="s">
        <v>14</v>
      </c>
      <c r="D363">
        <v>5943.41</v>
      </c>
      <c r="E363">
        <v>67</v>
      </c>
      <c r="F363">
        <v>16</v>
      </c>
      <c r="G363">
        <v>90168.18</v>
      </c>
      <c r="H363" s="7">
        <f t="shared" si="15"/>
        <v>23.880600000000001</v>
      </c>
      <c r="I363">
        <f t="shared" si="16"/>
        <v>14.171099999999999</v>
      </c>
      <c r="J363" t="str">
        <f t="shared" si="17"/>
        <v>Positive</v>
      </c>
    </row>
    <row r="364" spans="1:10" x14ac:dyDescent="0.3">
      <c r="A364" s="2">
        <v>45773</v>
      </c>
      <c r="B364" t="s">
        <v>7</v>
      </c>
      <c r="C364" t="s">
        <v>9</v>
      </c>
      <c r="D364">
        <v>9911.2999999999993</v>
      </c>
      <c r="E364">
        <v>132</v>
      </c>
      <c r="F364">
        <v>16</v>
      </c>
      <c r="G364">
        <v>28058.63</v>
      </c>
      <c r="H364" s="7">
        <f t="shared" si="15"/>
        <v>12.1212</v>
      </c>
      <c r="I364">
        <f t="shared" si="16"/>
        <v>1.831</v>
      </c>
      <c r="J364" t="str">
        <f t="shared" si="17"/>
        <v>Positive</v>
      </c>
    </row>
    <row r="365" spans="1:10" x14ac:dyDescent="0.3">
      <c r="A365" s="2">
        <v>45904</v>
      </c>
      <c r="B365" t="s">
        <v>7</v>
      </c>
      <c r="C365" t="s">
        <v>6</v>
      </c>
      <c r="D365">
        <v>14659.93</v>
      </c>
      <c r="E365">
        <v>81</v>
      </c>
      <c r="F365">
        <v>9</v>
      </c>
      <c r="G365">
        <v>42596.84</v>
      </c>
      <c r="H365" s="7">
        <f t="shared" si="15"/>
        <v>11.1111</v>
      </c>
      <c r="I365">
        <f t="shared" si="16"/>
        <v>1.9056999999999999</v>
      </c>
      <c r="J365" t="str">
        <f t="shared" si="17"/>
        <v>Positive</v>
      </c>
    </row>
    <row r="366" spans="1:10" x14ac:dyDescent="0.3">
      <c r="A366" s="2">
        <v>45911</v>
      </c>
      <c r="B366" t="s">
        <v>7</v>
      </c>
      <c r="C366" t="s">
        <v>6</v>
      </c>
      <c r="D366">
        <v>3828.66</v>
      </c>
      <c r="E366">
        <v>195</v>
      </c>
      <c r="F366">
        <v>47</v>
      </c>
      <c r="G366">
        <v>261636</v>
      </c>
      <c r="H366" s="7">
        <f t="shared" si="15"/>
        <v>24.102599999999999</v>
      </c>
      <c r="I366">
        <f t="shared" si="16"/>
        <v>67.336200000000005</v>
      </c>
      <c r="J366" t="str">
        <f t="shared" si="17"/>
        <v>Positive</v>
      </c>
    </row>
    <row r="367" spans="1:10" x14ac:dyDescent="0.3">
      <c r="A367" s="2">
        <v>45912</v>
      </c>
      <c r="B367" t="s">
        <v>12</v>
      </c>
      <c r="C367" t="s">
        <v>6</v>
      </c>
      <c r="D367">
        <v>9866.94</v>
      </c>
      <c r="E367">
        <v>115</v>
      </c>
      <c r="F367">
        <v>16</v>
      </c>
      <c r="G367">
        <v>26663.17</v>
      </c>
      <c r="H367" s="7">
        <f t="shared" si="15"/>
        <v>13.913</v>
      </c>
      <c r="I367">
        <f t="shared" si="16"/>
        <v>1.7022999999999999</v>
      </c>
      <c r="J367" t="str">
        <f t="shared" si="17"/>
        <v>Positive</v>
      </c>
    </row>
    <row r="368" spans="1:10" x14ac:dyDescent="0.3">
      <c r="A368" s="2">
        <v>45729</v>
      </c>
      <c r="B368" t="s">
        <v>10</v>
      </c>
      <c r="C368" t="s">
        <v>8</v>
      </c>
      <c r="D368">
        <v>8204.4</v>
      </c>
      <c r="E368">
        <v>239</v>
      </c>
      <c r="F368">
        <v>59</v>
      </c>
      <c r="G368">
        <v>238348.26</v>
      </c>
      <c r="H368" s="7">
        <f t="shared" si="15"/>
        <v>24.686199999999999</v>
      </c>
      <c r="I368">
        <f t="shared" si="16"/>
        <v>28.051300000000001</v>
      </c>
      <c r="J368" t="str">
        <f t="shared" si="17"/>
        <v>Positive</v>
      </c>
    </row>
    <row r="369" spans="1:10" x14ac:dyDescent="0.3">
      <c r="A369" s="2">
        <v>45748</v>
      </c>
      <c r="B369" t="s">
        <v>12</v>
      </c>
      <c r="C369" t="s">
        <v>14</v>
      </c>
      <c r="D369">
        <v>10959.95</v>
      </c>
      <c r="E369">
        <v>178</v>
      </c>
      <c r="F369">
        <v>24</v>
      </c>
      <c r="G369">
        <v>116366.46</v>
      </c>
      <c r="H369" s="7">
        <f t="shared" si="15"/>
        <v>13.4831</v>
      </c>
      <c r="I369">
        <f t="shared" si="16"/>
        <v>9.6173999999999999</v>
      </c>
      <c r="J369" t="str">
        <f t="shared" si="17"/>
        <v>Positive</v>
      </c>
    </row>
    <row r="370" spans="1:10" x14ac:dyDescent="0.3">
      <c r="A370" s="2">
        <v>45851</v>
      </c>
      <c r="B370" t="s">
        <v>5</v>
      </c>
      <c r="C370" t="s">
        <v>8</v>
      </c>
      <c r="D370">
        <v>5272.56</v>
      </c>
      <c r="E370">
        <v>157</v>
      </c>
      <c r="F370">
        <v>36</v>
      </c>
      <c r="G370">
        <v>93600.2</v>
      </c>
      <c r="H370" s="7">
        <f t="shared" si="15"/>
        <v>22.9299</v>
      </c>
      <c r="I370">
        <f t="shared" si="16"/>
        <v>16.752300000000002</v>
      </c>
      <c r="J370" t="str">
        <f t="shared" si="17"/>
        <v>Positive</v>
      </c>
    </row>
    <row r="371" spans="1:10" x14ac:dyDescent="0.3">
      <c r="A371" s="2">
        <v>45864</v>
      </c>
      <c r="B371" t="s">
        <v>13</v>
      </c>
      <c r="C371" t="s">
        <v>8</v>
      </c>
      <c r="D371">
        <v>3802.07</v>
      </c>
      <c r="E371">
        <v>45</v>
      </c>
      <c r="F371">
        <v>15</v>
      </c>
      <c r="G371">
        <v>83638.31</v>
      </c>
      <c r="H371" s="7">
        <f t="shared" si="15"/>
        <v>33.333300000000001</v>
      </c>
      <c r="I371">
        <f t="shared" si="16"/>
        <v>20.998100000000001</v>
      </c>
      <c r="J371" t="str">
        <f t="shared" si="17"/>
        <v>Positive</v>
      </c>
    </row>
    <row r="372" spans="1:10" x14ac:dyDescent="0.3">
      <c r="A372" s="2">
        <v>45665</v>
      </c>
      <c r="B372" t="s">
        <v>10</v>
      </c>
      <c r="C372" t="s">
        <v>11</v>
      </c>
      <c r="D372">
        <v>7716.73</v>
      </c>
      <c r="E372">
        <v>208</v>
      </c>
      <c r="F372">
        <v>75</v>
      </c>
      <c r="G372">
        <v>156851.38</v>
      </c>
      <c r="H372" s="7">
        <f t="shared" si="15"/>
        <v>36.057699999999997</v>
      </c>
      <c r="I372">
        <f t="shared" si="16"/>
        <v>19.3261</v>
      </c>
      <c r="J372" t="str">
        <f t="shared" si="17"/>
        <v>Positive</v>
      </c>
    </row>
    <row r="373" spans="1:10" x14ac:dyDescent="0.3">
      <c r="A373" s="2">
        <v>45722</v>
      </c>
      <c r="B373" t="s">
        <v>13</v>
      </c>
      <c r="C373" t="s">
        <v>9</v>
      </c>
      <c r="D373">
        <v>5439.36</v>
      </c>
      <c r="E373">
        <v>74</v>
      </c>
      <c r="F373">
        <v>12</v>
      </c>
      <c r="G373">
        <v>67803.88</v>
      </c>
      <c r="H373" s="7">
        <f t="shared" si="15"/>
        <v>16.216200000000001</v>
      </c>
      <c r="I373">
        <f t="shared" si="16"/>
        <v>11.465400000000001</v>
      </c>
      <c r="J373" t="str">
        <f t="shared" si="17"/>
        <v>Positive</v>
      </c>
    </row>
    <row r="374" spans="1:10" x14ac:dyDescent="0.3">
      <c r="A374" s="2">
        <v>45896</v>
      </c>
      <c r="B374" t="s">
        <v>5</v>
      </c>
      <c r="C374" t="s">
        <v>14</v>
      </c>
      <c r="D374">
        <v>8355.83</v>
      </c>
      <c r="E374">
        <v>34</v>
      </c>
      <c r="F374">
        <v>5</v>
      </c>
      <c r="G374">
        <v>12038.85</v>
      </c>
      <c r="H374" s="7">
        <f t="shared" si="15"/>
        <v>14.7059</v>
      </c>
      <c r="I374">
        <f t="shared" si="16"/>
        <v>0.44080000000000003</v>
      </c>
      <c r="J374" t="str">
        <f t="shared" si="17"/>
        <v>Positive</v>
      </c>
    </row>
    <row r="375" spans="1:10" x14ac:dyDescent="0.3">
      <c r="A375" s="2">
        <v>45672</v>
      </c>
      <c r="B375" t="s">
        <v>10</v>
      </c>
      <c r="C375" t="s">
        <v>8</v>
      </c>
      <c r="D375">
        <v>1199.9000000000001</v>
      </c>
      <c r="E375">
        <v>122</v>
      </c>
      <c r="F375">
        <v>32</v>
      </c>
      <c r="G375">
        <v>157011.60999999999</v>
      </c>
      <c r="H375" s="7">
        <f t="shared" si="15"/>
        <v>26.229500000000002</v>
      </c>
      <c r="I375">
        <f t="shared" si="16"/>
        <v>129.85390000000001</v>
      </c>
      <c r="J375" t="str">
        <f t="shared" si="17"/>
        <v>Positive</v>
      </c>
    </row>
    <row r="376" spans="1:10" x14ac:dyDescent="0.3">
      <c r="A376" s="2">
        <v>45777</v>
      </c>
      <c r="B376" t="s">
        <v>10</v>
      </c>
      <c r="C376" t="s">
        <v>14</v>
      </c>
      <c r="D376">
        <v>2653.17</v>
      </c>
      <c r="E376">
        <v>162</v>
      </c>
      <c r="F376">
        <v>18</v>
      </c>
      <c r="G376">
        <v>42708.37</v>
      </c>
      <c r="H376" s="7">
        <f t="shared" si="15"/>
        <v>11.1111</v>
      </c>
      <c r="I376">
        <f t="shared" si="16"/>
        <v>15.097099999999999</v>
      </c>
      <c r="J376" t="str">
        <f t="shared" si="17"/>
        <v>Positive</v>
      </c>
    </row>
    <row r="377" spans="1:10" x14ac:dyDescent="0.3">
      <c r="A377" s="2">
        <v>45947</v>
      </c>
      <c r="B377" t="s">
        <v>13</v>
      </c>
      <c r="C377" t="s">
        <v>14</v>
      </c>
      <c r="D377">
        <v>9159.1299999999992</v>
      </c>
      <c r="E377">
        <v>45</v>
      </c>
      <c r="F377">
        <v>14</v>
      </c>
      <c r="G377">
        <v>36163.199999999997</v>
      </c>
      <c r="H377" s="7">
        <f t="shared" si="15"/>
        <v>31.1111</v>
      </c>
      <c r="I377">
        <f t="shared" si="16"/>
        <v>2.9483000000000001</v>
      </c>
      <c r="J377" t="str">
        <f t="shared" si="17"/>
        <v>Positive</v>
      </c>
    </row>
    <row r="378" spans="1:10" x14ac:dyDescent="0.3">
      <c r="A378" s="2">
        <v>45968</v>
      </c>
      <c r="B378" t="s">
        <v>13</v>
      </c>
      <c r="C378" t="s">
        <v>8</v>
      </c>
      <c r="D378">
        <v>3476.94</v>
      </c>
      <c r="E378">
        <v>181</v>
      </c>
      <c r="F378">
        <v>29</v>
      </c>
      <c r="G378">
        <v>29199.200000000001</v>
      </c>
      <c r="H378" s="7">
        <f t="shared" si="15"/>
        <v>16.022099999999998</v>
      </c>
      <c r="I378">
        <f t="shared" si="16"/>
        <v>7.3979999999999997</v>
      </c>
      <c r="J378" t="str">
        <f t="shared" si="17"/>
        <v>Positive</v>
      </c>
    </row>
    <row r="379" spans="1:10" x14ac:dyDescent="0.3">
      <c r="A379" s="2">
        <v>45883</v>
      </c>
      <c r="B379" t="s">
        <v>10</v>
      </c>
      <c r="C379" t="s">
        <v>9</v>
      </c>
      <c r="D379">
        <v>1144.23</v>
      </c>
      <c r="E379">
        <v>204</v>
      </c>
      <c r="F379">
        <v>75</v>
      </c>
      <c r="G379">
        <v>188771.03</v>
      </c>
      <c r="H379" s="7">
        <f t="shared" si="15"/>
        <v>36.764699999999998</v>
      </c>
      <c r="I379">
        <f t="shared" si="16"/>
        <v>163.97649999999999</v>
      </c>
      <c r="J379" t="str">
        <f t="shared" si="17"/>
        <v>Positive</v>
      </c>
    </row>
    <row r="380" spans="1:10" x14ac:dyDescent="0.3">
      <c r="A380" s="2">
        <v>45826</v>
      </c>
      <c r="B380" t="s">
        <v>7</v>
      </c>
      <c r="C380" t="s">
        <v>9</v>
      </c>
      <c r="D380">
        <v>4711.96</v>
      </c>
      <c r="E380">
        <v>130</v>
      </c>
      <c r="F380">
        <v>37</v>
      </c>
      <c r="G380">
        <v>185544.04</v>
      </c>
      <c r="H380" s="7">
        <f t="shared" si="15"/>
        <v>28.461500000000001</v>
      </c>
      <c r="I380">
        <f t="shared" si="16"/>
        <v>38.377299999999998</v>
      </c>
      <c r="J380" t="str">
        <f t="shared" si="17"/>
        <v>Positive</v>
      </c>
    </row>
    <row r="381" spans="1:10" x14ac:dyDescent="0.3">
      <c r="A381" s="2">
        <v>45866</v>
      </c>
      <c r="B381" t="s">
        <v>5</v>
      </c>
      <c r="C381" t="s">
        <v>6</v>
      </c>
      <c r="D381">
        <v>2273.17</v>
      </c>
      <c r="E381">
        <v>185</v>
      </c>
      <c r="F381">
        <v>60</v>
      </c>
      <c r="G381">
        <v>82352.66</v>
      </c>
      <c r="H381" s="7">
        <f t="shared" si="15"/>
        <v>32.432400000000001</v>
      </c>
      <c r="I381">
        <f t="shared" si="16"/>
        <v>35.228099999999998</v>
      </c>
      <c r="J381" t="str">
        <f t="shared" si="17"/>
        <v>Positive</v>
      </c>
    </row>
    <row r="382" spans="1:10" x14ac:dyDescent="0.3">
      <c r="A382" s="2">
        <v>46002</v>
      </c>
      <c r="B382" t="s">
        <v>13</v>
      </c>
      <c r="C382" t="s">
        <v>6</v>
      </c>
      <c r="D382">
        <v>10639.37</v>
      </c>
      <c r="E382">
        <v>39</v>
      </c>
      <c r="F382">
        <v>7</v>
      </c>
      <c r="G382">
        <v>17270.8</v>
      </c>
      <c r="H382" s="7">
        <f t="shared" si="15"/>
        <v>17.948699999999999</v>
      </c>
      <c r="I382">
        <f t="shared" si="16"/>
        <v>0.62329999999999997</v>
      </c>
      <c r="J382" t="str">
        <f t="shared" si="17"/>
        <v>Positive</v>
      </c>
    </row>
    <row r="383" spans="1:10" x14ac:dyDescent="0.3">
      <c r="A383" s="2">
        <v>45894</v>
      </c>
      <c r="B383" t="s">
        <v>7</v>
      </c>
      <c r="C383" t="s">
        <v>6</v>
      </c>
      <c r="D383">
        <v>8680.41</v>
      </c>
      <c r="E383">
        <v>46</v>
      </c>
      <c r="F383">
        <v>1</v>
      </c>
      <c r="G383">
        <v>3864.96</v>
      </c>
      <c r="H383" s="7">
        <f t="shared" si="15"/>
        <v>2.1739000000000002</v>
      </c>
      <c r="I383">
        <f t="shared" si="16"/>
        <v>-0.55469999999999997</v>
      </c>
      <c r="J383" t="str">
        <f t="shared" si="17"/>
        <v>Negative</v>
      </c>
    </row>
    <row r="384" spans="1:10" x14ac:dyDescent="0.3">
      <c r="A384" s="2">
        <v>45721</v>
      </c>
      <c r="B384" t="s">
        <v>12</v>
      </c>
      <c r="C384" t="s">
        <v>8</v>
      </c>
      <c r="D384">
        <v>2744.77</v>
      </c>
      <c r="E384">
        <v>69</v>
      </c>
      <c r="F384">
        <v>13</v>
      </c>
      <c r="G384">
        <v>24425.62</v>
      </c>
      <c r="H384" s="7">
        <f t="shared" si="15"/>
        <v>18.840599999999998</v>
      </c>
      <c r="I384">
        <f t="shared" si="16"/>
        <v>7.899</v>
      </c>
      <c r="J384" t="str">
        <f t="shared" si="17"/>
        <v>Positive</v>
      </c>
    </row>
    <row r="385" spans="1:10" x14ac:dyDescent="0.3">
      <c r="A385" s="2">
        <v>45756</v>
      </c>
      <c r="B385" t="s">
        <v>12</v>
      </c>
      <c r="C385" t="s">
        <v>6</v>
      </c>
      <c r="D385">
        <v>4777.1899999999996</v>
      </c>
      <c r="E385">
        <v>41</v>
      </c>
      <c r="F385">
        <v>5</v>
      </c>
      <c r="G385">
        <v>25837.75</v>
      </c>
      <c r="H385" s="7">
        <f t="shared" si="15"/>
        <v>12.1951</v>
      </c>
      <c r="I385">
        <f t="shared" si="16"/>
        <v>4.4085999999999999</v>
      </c>
      <c r="J385" t="str">
        <f t="shared" si="17"/>
        <v>Positive</v>
      </c>
    </row>
    <row r="386" spans="1:10" x14ac:dyDescent="0.3">
      <c r="A386" s="2">
        <v>45844</v>
      </c>
      <c r="B386" t="s">
        <v>12</v>
      </c>
      <c r="C386" t="s">
        <v>11</v>
      </c>
      <c r="D386">
        <v>12200.67</v>
      </c>
      <c r="E386">
        <v>201</v>
      </c>
      <c r="F386">
        <v>25</v>
      </c>
      <c r="G386">
        <v>95814.5</v>
      </c>
      <c r="H386" s="7">
        <f t="shared" ref="H386:H449" si="18">ROUND((F386/E386)*100,4)</f>
        <v>12.437799999999999</v>
      </c>
      <c r="I386">
        <f t="shared" ref="I386:I449" si="19">ROUND(((G386-D386)/D386),4)</f>
        <v>6.8532000000000002</v>
      </c>
      <c r="J386" t="str">
        <f t="shared" si="17"/>
        <v>Positive</v>
      </c>
    </row>
    <row r="387" spans="1:10" x14ac:dyDescent="0.3">
      <c r="A387" s="2">
        <v>45899</v>
      </c>
      <c r="B387" t="s">
        <v>10</v>
      </c>
      <c r="C387" t="s">
        <v>6</v>
      </c>
      <c r="D387">
        <v>9236.4</v>
      </c>
      <c r="E387">
        <v>120</v>
      </c>
      <c r="F387">
        <v>18</v>
      </c>
      <c r="G387">
        <v>21895.4</v>
      </c>
      <c r="H387" s="7">
        <f t="shared" si="18"/>
        <v>15</v>
      </c>
      <c r="I387">
        <f t="shared" si="19"/>
        <v>1.3706</v>
      </c>
      <c r="J387" t="str">
        <f t="shared" ref="J387:J450" si="20">IF(I387&gt;0,"Positive","Negative")</f>
        <v>Positive</v>
      </c>
    </row>
    <row r="388" spans="1:10" x14ac:dyDescent="0.3">
      <c r="A388" s="2">
        <v>45940</v>
      </c>
      <c r="B388" t="s">
        <v>12</v>
      </c>
      <c r="C388" t="s">
        <v>11</v>
      </c>
      <c r="D388">
        <v>12737.19</v>
      </c>
      <c r="E388">
        <v>213</v>
      </c>
      <c r="F388">
        <v>35</v>
      </c>
      <c r="G388">
        <v>39885.730000000003</v>
      </c>
      <c r="H388" s="7">
        <f t="shared" si="18"/>
        <v>16.431899999999999</v>
      </c>
      <c r="I388">
        <f t="shared" si="19"/>
        <v>2.1314000000000002</v>
      </c>
      <c r="J388" t="str">
        <f t="shared" si="20"/>
        <v>Positive</v>
      </c>
    </row>
    <row r="389" spans="1:10" x14ac:dyDescent="0.3">
      <c r="A389" s="2">
        <v>45828</v>
      </c>
      <c r="B389" t="s">
        <v>10</v>
      </c>
      <c r="C389" t="s">
        <v>8</v>
      </c>
      <c r="D389">
        <v>7445.2</v>
      </c>
      <c r="E389">
        <v>147</v>
      </c>
      <c r="F389">
        <v>42</v>
      </c>
      <c r="G389">
        <v>228321.41</v>
      </c>
      <c r="H389" s="7">
        <f t="shared" si="18"/>
        <v>28.571400000000001</v>
      </c>
      <c r="I389">
        <f t="shared" si="19"/>
        <v>29.666899999999998</v>
      </c>
      <c r="J389" t="str">
        <f t="shared" si="20"/>
        <v>Positive</v>
      </c>
    </row>
    <row r="390" spans="1:10" x14ac:dyDescent="0.3">
      <c r="A390" s="2">
        <v>45922</v>
      </c>
      <c r="B390" t="s">
        <v>5</v>
      </c>
      <c r="C390" t="s">
        <v>9</v>
      </c>
      <c r="D390">
        <v>10690.16</v>
      </c>
      <c r="E390">
        <v>162</v>
      </c>
      <c r="F390">
        <v>45</v>
      </c>
      <c r="G390">
        <v>67653.62</v>
      </c>
      <c r="H390" s="7">
        <f t="shared" si="18"/>
        <v>27.777799999999999</v>
      </c>
      <c r="I390">
        <f t="shared" si="19"/>
        <v>5.3285999999999998</v>
      </c>
      <c r="J390" t="str">
        <f t="shared" si="20"/>
        <v>Positive</v>
      </c>
    </row>
    <row r="391" spans="1:10" x14ac:dyDescent="0.3">
      <c r="A391" s="2">
        <v>45928</v>
      </c>
      <c r="B391" t="s">
        <v>12</v>
      </c>
      <c r="C391" t="s">
        <v>6</v>
      </c>
      <c r="D391">
        <v>1332.25</v>
      </c>
      <c r="E391">
        <v>145</v>
      </c>
      <c r="F391">
        <v>1</v>
      </c>
      <c r="G391">
        <v>3780.11</v>
      </c>
      <c r="H391" s="7">
        <f t="shared" si="18"/>
        <v>0.68969999999999998</v>
      </c>
      <c r="I391">
        <f t="shared" si="19"/>
        <v>1.8373999999999999</v>
      </c>
      <c r="J391" t="str">
        <f t="shared" si="20"/>
        <v>Positive</v>
      </c>
    </row>
    <row r="392" spans="1:10" x14ac:dyDescent="0.3">
      <c r="A392" s="2">
        <v>45787</v>
      </c>
      <c r="B392" t="s">
        <v>7</v>
      </c>
      <c r="C392" t="s">
        <v>9</v>
      </c>
      <c r="D392">
        <v>4940.8599999999997</v>
      </c>
      <c r="E392">
        <v>232</v>
      </c>
      <c r="F392">
        <v>81</v>
      </c>
      <c r="G392">
        <v>315534.53000000003</v>
      </c>
      <c r="H392" s="7">
        <f t="shared" si="18"/>
        <v>34.913800000000002</v>
      </c>
      <c r="I392">
        <f t="shared" si="19"/>
        <v>62.862299999999998</v>
      </c>
      <c r="J392" t="str">
        <f t="shared" si="20"/>
        <v>Positive</v>
      </c>
    </row>
    <row r="393" spans="1:10" x14ac:dyDescent="0.3">
      <c r="A393" s="2">
        <v>45868</v>
      </c>
      <c r="B393" t="s">
        <v>5</v>
      </c>
      <c r="C393" t="s">
        <v>14</v>
      </c>
      <c r="D393">
        <v>7710.38</v>
      </c>
      <c r="E393">
        <v>159</v>
      </c>
      <c r="F393">
        <v>40</v>
      </c>
      <c r="G393">
        <v>90405.99</v>
      </c>
      <c r="H393" s="7">
        <f t="shared" si="18"/>
        <v>25.1572</v>
      </c>
      <c r="I393">
        <f t="shared" si="19"/>
        <v>10.725199999999999</v>
      </c>
      <c r="J393" t="str">
        <f t="shared" si="20"/>
        <v>Positive</v>
      </c>
    </row>
    <row r="394" spans="1:10" x14ac:dyDescent="0.3">
      <c r="A394" s="2">
        <v>45811</v>
      </c>
      <c r="B394" t="s">
        <v>12</v>
      </c>
      <c r="C394" t="s">
        <v>11</v>
      </c>
      <c r="D394">
        <v>11215.94</v>
      </c>
      <c r="E394">
        <v>246</v>
      </c>
      <c r="F394">
        <v>16</v>
      </c>
      <c r="G394">
        <v>33986.29</v>
      </c>
      <c r="H394" s="7">
        <f t="shared" si="18"/>
        <v>6.5041000000000002</v>
      </c>
      <c r="I394">
        <f t="shared" si="19"/>
        <v>2.0301999999999998</v>
      </c>
      <c r="J394" t="str">
        <f t="shared" si="20"/>
        <v>Positive</v>
      </c>
    </row>
    <row r="395" spans="1:10" x14ac:dyDescent="0.3">
      <c r="A395" s="2">
        <v>45998</v>
      </c>
      <c r="B395" t="s">
        <v>5</v>
      </c>
      <c r="C395" t="s">
        <v>9</v>
      </c>
      <c r="D395">
        <v>4832.43</v>
      </c>
      <c r="E395">
        <v>102</v>
      </c>
      <c r="F395">
        <v>33</v>
      </c>
      <c r="G395">
        <v>39597.82</v>
      </c>
      <c r="H395" s="7">
        <f t="shared" si="18"/>
        <v>32.352899999999998</v>
      </c>
      <c r="I395">
        <f t="shared" si="19"/>
        <v>7.1942000000000004</v>
      </c>
      <c r="J395" t="str">
        <f t="shared" si="20"/>
        <v>Positive</v>
      </c>
    </row>
    <row r="396" spans="1:10" x14ac:dyDescent="0.3">
      <c r="A396" s="2">
        <v>45837</v>
      </c>
      <c r="B396" t="s">
        <v>7</v>
      </c>
      <c r="C396" t="s">
        <v>14</v>
      </c>
      <c r="D396">
        <v>3610.58</v>
      </c>
      <c r="E396">
        <v>224</v>
      </c>
      <c r="F396">
        <v>64</v>
      </c>
      <c r="G396">
        <v>242020.76</v>
      </c>
      <c r="H396" s="7">
        <f t="shared" si="18"/>
        <v>28.571400000000001</v>
      </c>
      <c r="I396">
        <f t="shared" si="19"/>
        <v>66.031000000000006</v>
      </c>
      <c r="J396" t="str">
        <f t="shared" si="20"/>
        <v>Positive</v>
      </c>
    </row>
    <row r="397" spans="1:10" x14ac:dyDescent="0.3">
      <c r="A397" s="2">
        <v>45777</v>
      </c>
      <c r="B397" t="s">
        <v>7</v>
      </c>
      <c r="C397" t="s">
        <v>8</v>
      </c>
      <c r="D397">
        <v>13254.2</v>
      </c>
      <c r="E397">
        <v>197</v>
      </c>
      <c r="F397">
        <v>36</v>
      </c>
      <c r="G397">
        <v>163203.74</v>
      </c>
      <c r="H397" s="7">
        <f t="shared" si="18"/>
        <v>18.274100000000001</v>
      </c>
      <c r="I397">
        <f t="shared" si="19"/>
        <v>11.3134</v>
      </c>
      <c r="J397" t="str">
        <f t="shared" si="20"/>
        <v>Positive</v>
      </c>
    </row>
    <row r="398" spans="1:10" x14ac:dyDescent="0.3">
      <c r="A398" s="2">
        <v>45901</v>
      </c>
      <c r="B398" t="s">
        <v>5</v>
      </c>
      <c r="C398" t="s">
        <v>9</v>
      </c>
      <c r="D398">
        <v>14942.42</v>
      </c>
      <c r="E398">
        <v>125</v>
      </c>
      <c r="F398">
        <v>42</v>
      </c>
      <c r="G398">
        <v>86693.19</v>
      </c>
      <c r="H398" s="7">
        <f t="shared" si="18"/>
        <v>33.6</v>
      </c>
      <c r="I398">
        <f t="shared" si="19"/>
        <v>4.8018000000000001</v>
      </c>
      <c r="J398" t="str">
        <f t="shared" si="20"/>
        <v>Positive</v>
      </c>
    </row>
    <row r="399" spans="1:10" x14ac:dyDescent="0.3">
      <c r="A399" s="2">
        <v>45753</v>
      </c>
      <c r="B399" t="s">
        <v>12</v>
      </c>
      <c r="C399" t="s">
        <v>8</v>
      </c>
      <c r="D399">
        <v>10535.72</v>
      </c>
      <c r="E399">
        <v>162</v>
      </c>
      <c r="F399">
        <v>56</v>
      </c>
      <c r="G399">
        <v>168606.51</v>
      </c>
      <c r="H399" s="7">
        <f t="shared" si="18"/>
        <v>34.567900000000002</v>
      </c>
      <c r="I399">
        <f t="shared" si="19"/>
        <v>15.003299999999999</v>
      </c>
      <c r="J399" t="str">
        <f t="shared" si="20"/>
        <v>Positive</v>
      </c>
    </row>
    <row r="400" spans="1:10" x14ac:dyDescent="0.3">
      <c r="A400" s="2">
        <v>45827</v>
      </c>
      <c r="B400" t="s">
        <v>7</v>
      </c>
      <c r="C400" t="s">
        <v>9</v>
      </c>
      <c r="D400">
        <v>14751.71</v>
      </c>
      <c r="E400">
        <v>219</v>
      </c>
      <c r="F400">
        <v>12</v>
      </c>
      <c r="G400">
        <v>53555.7</v>
      </c>
      <c r="H400" s="7">
        <f t="shared" si="18"/>
        <v>5.4794999999999998</v>
      </c>
      <c r="I400">
        <f t="shared" si="19"/>
        <v>2.6305000000000001</v>
      </c>
      <c r="J400" t="str">
        <f t="shared" si="20"/>
        <v>Positive</v>
      </c>
    </row>
    <row r="401" spans="1:10" x14ac:dyDescent="0.3">
      <c r="A401" s="2">
        <v>45785</v>
      </c>
      <c r="B401" t="s">
        <v>12</v>
      </c>
      <c r="C401" t="s">
        <v>8</v>
      </c>
      <c r="D401">
        <v>5951.95</v>
      </c>
      <c r="E401">
        <v>118</v>
      </c>
      <c r="F401">
        <v>4</v>
      </c>
      <c r="G401">
        <v>6169.21</v>
      </c>
      <c r="H401" s="7">
        <f t="shared" si="18"/>
        <v>3.3898000000000001</v>
      </c>
      <c r="I401">
        <f t="shared" si="19"/>
        <v>3.6499999999999998E-2</v>
      </c>
      <c r="J401" t="str">
        <f t="shared" si="20"/>
        <v>Positive</v>
      </c>
    </row>
    <row r="402" spans="1:10" x14ac:dyDescent="0.3">
      <c r="A402" s="2">
        <v>45869</v>
      </c>
      <c r="B402" t="s">
        <v>10</v>
      </c>
      <c r="C402" t="s">
        <v>14</v>
      </c>
      <c r="D402">
        <v>13275.38</v>
      </c>
      <c r="E402">
        <v>135</v>
      </c>
      <c r="F402">
        <v>6</v>
      </c>
      <c r="G402">
        <v>25572.12</v>
      </c>
      <c r="H402" s="7">
        <f t="shared" si="18"/>
        <v>4.4443999999999999</v>
      </c>
      <c r="I402">
        <f t="shared" si="19"/>
        <v>0.92630000000000001</v>
      </c>
      <c r="J402" t="str">
        <f t="shared" si="20"/>
        <v>Positive</v>
      </c>
    </row>
    <row r="403" spans="1:10" x14ac:dyDescent="0.3">
      <c r="A403" s="2">
        <v>45939</v>
      </c>
      <c r="B403" t="s">
        <v>12</v>
      </c>
      <c r="C403" t="s">
        <v>6</v>
      </c>
      <c r="D403">
        <v>12369.53</v>
      </c>
      <c r="E403">
        <v>202</v>
      </c>
      <c r="F403">
        <v>66</v>
      </c>
      <c r="G403">
        <v>134214.5</v>
      </c>
      <c r="H403" s="7">
        <f t="shared" si="18"/>
        <v>32.673299999999998</v>
      </c>
      <c r="I403">
        <f t="shared" si="19"/>
        <v>9.8504000000000005</v>
      </c>
      <c r="J403" t="str">
        <f t="shared" si="20"/>
        <v>Positive</v>
      </c>
    </row>
    <row r="404" spans="1:10" x14ac:dyDescent="0.3">
      <c r="A404" s="2">
        <v>46001</v>
      </c>
      <c r="B404" t="s">
        <v>5</v>
      </c>
      <c r="C404" t="s">
        <v>8</v>
      </c>
      <c r="D404">
        <v>4602.25</v>
      </c>
      <c r="E404">
        <v>204</v>
      </c>
      <c r="F404">
        <v>36</v>
      </c>
      <c r="G404">
        <v>109181.36</v>
      </c>
      <c r="H404" s="7">
        <f t="shared" si="18"/>
        <v>17.647099999999998</v>
      </c>
      <c r="I404">
        <f t="shared" si="19"/>
        <v>22.723500000000001</v>
      </c>
      <c r="J404" t="str">
        <f t="shared" si="20"/>
        <v>Positive</v>
      </c>
    </row>
    <row r="405" spans="1:10" x14ac:dyDescent="0.3">
      <c r="A405" s="2">
        <v>45888</v>
      </c>
      <c r="B405" t="s">
        <v>13</v>
      </c>
      <c r="C405" t="s">
        <v>9</v>
      </c>
      <c r="D405">
        <v>7973.72</v>
      </c>
      <c r="E405">
        <v>105</v>
      </c>
      <c r="F405">
        <v>33</v>
      </c>
      <c r="G405">
        <v>115326.72</v>
      </c>
      <c r="H405" s="7">
        <f t="shared" si="18"/>
        <v>31.428599999999999</v>
      </c>
      <c r="I405">
        <f t="shared" si="19"/>
        <v>13.4634</v>
      </c>
      <c r="J405" t="str">
        <f t="shared" si="20"/>
        <v>Positive</v>
      </c>
    </row>
    <row r="406" spans="1:10" x14ac:dyDescent="0.3">
      <c r="A406" s="2">
        <v>45877</v>
      </c>
      <c r="B406" t="s">
        <v>7</v>
      </c>
      <c r="C406" t="s">
        <v>6</v>
      </c>
      <c r="D406">
        <v>3848.03</v>
      </c>
      <c r="E406">
        <v>123</v>
      </c>
      <c r="F406">
        <v>37</v>
      </c>
      <c r="G406">
        <v>42447.87</v>
      </c>
      <c r="H406" s="7">
        <f t="shared" si="18"/>
        <v>30.081299999999999</v>
      </c>
      <c r="I406">
        <f t="shared" si="19"/>
        <v>10.0311</v>
      </c>
      <c r="J406" t="str">
        <f t="shared" si="20"/>
        <v>Positive</v>
      </c>
    </row>
    <row r="407" spans="1:10" x14ac:dyDescent="0.3">
      <c r="A407" s="2">
        <v>45927</v>
      </c>
      <c r="B407" t="s">
        <v>13</v>
      </c>
      <c r="C407" t="s">
        <v>14</v>
      </c>
      <c r="D407">
        <v>13919</v>
      </c>
      <c r="E407">
        <v>188</v>
      </c>
      <c r="F407">
        <v>30</v>
      </c>
      <c r="G407">
        <v>33382.32</v>
      </c>
      <c r="H407" s="7">
        <f t="shared" si="18"/>
        <v>15.9574</v>
      </c>
      <c r="I407">
        <f t="shared" si="19"/>
        <v>1.3983000000000001</v>
      </c>
      <c r="J407" t="str">
        <f t="shared" si="20"/>
        <v>Positive</v>
      </c>
    </row>
    <row r="408" spans="1:10" x14ac:dyDescent="0.3">
      <c r="A408" s="2">
        <v>45674</v>
      </c>
      <c r="B408" t="s">
        <v>7</v>
      </c>
      <c r="C408" t="s">
        <v>9</v>
      </c>
      <c r="D408">
        <v>12346.85</v>
      </c>
      <c r="E408">
        <v>101</v>
      </c>
      <c r="F408">
        <v>17</v>
      </c>
      <c r="G408">
        <v>72661.039999999994</v>
      </c>
      <c r="H408" s="7">
        <f t="shared" si="18"/>
        <v>16.831700000000001</v>
      </c>
      <c r="I408">
        <f t="shared" si="19"/>
        <v>4.8849999999999998</v>
      </c>
      <c r="J408" t="str">
        <f t="shared" si="20"/>
        <v>Positive</v>
      </c>
    </row>
    <row r="409" spans="1:10" x14ac:dyDescent="0.3">
      <c r="A409" s="2">
        <v>45716</v>
      </c>
      <c r="B409" t="s">
        <v>12</v>
      </c>
      <c r="C409" t="s">
        <v>11</v>
      </c>
      <c r="D409">
        <v>13684.82</v>
      </c>
      <c r="E409">
        <v>199</v>
      </c>
      <c r="F409">
        <v>8</v>
      </c>
      <c r="G409">
        <v>24666.93</v>
      </c>
      <c r="H409" s="7">
        <f t="shared" si="18"/>
        <v>4.0201000000000002</v>
      </c>
      <c r="I409">
        <f t="shared" si="19"/>
        <v>0.80249999999999999</v>
      </c>
      <c r="J409" t="str">
        <f t="shared" si="20"/>
        <v>Positive</v>
      </c>
    </row>
    <row r="410" spans="1:10" x14ac:dyDescent="0.3">
      <c r="A410" s="2">
        <v>45954</v>
      </c>
      <c r="B410" t="s">
        <v>10</v>
      </c>
      <c r="C410" t="s">
        <v>14</v>
      </c>
      <c r="D410">
        <v>11702.11</v>
      </c>
      <c r="E410">
        <v>36</v>
      </c>
      <c r="F410">
        <v>10</v>
      </c>
      <c r="G410">
        <v>17866.7</v>
      </c>
      <c r="H410" s="7">
        <f t="shared" si="18"/>
        <v>27.777799999999999</v>
      </c>
      <c r="I410">
        <f t="shared" si="19"/>
        <v>0.52680000000000005</v>
      </c>
      <c r="J410" t="str">
        <f t="shared" si="20"/>
        <v>Positive</v>
      </c>
    </row>
    <row r="411" spans="1:10" x14ac:dyDescent="0.3">
      <c r="A411" s="2">
        <v>45782</v>
      </c>
      <c r="B411" t="s">
        <v>7</v>
      </c>
      <c r="C411" t="s">
        <v>11</v>
      </c>
      <c r="D411">
        <v>14569.78</v>
      </c>
      <c r="E411">
        <v>41</v>
      </c>
      <c r="F411">
        <v>9</v>
      </c>
      <c r="G411">
        <v>45150.31</v>
      </c>
      <c r="H411" s="7">
        <f t="shared" si="18"/>
        <v>21.9512</v>
      </c>
      <c r="I411">
        <f t="shared" si="19"/>
        <v>2.0989</v>
      </c>
      <c r="J411" t="str">
        <f t="shared" si="20"/>
        <v>Positive</v>
      </c>
    </row>
    <row r="412" spans="1:10" x14ac:dyDescent="0.3">
      <c r="A412" s="2">
        <v>45887</v>
      </c>
      <c r="B412" t="s">
        <v>10</v>
      </c>
      <c r="C412" t="s">
        <v>11</v>
      </c>
      <c r="D412">
        <v>14778.45</v>
      </c>
      <c r="E412">
        <v>235</v>
      </c>
      <c r="F412">
        <v>29</v>
      </c>
      <c r="G412">
        <v>158956.07</v>
      </c>
      <c r="H412" s="7">
        <f t="shared" si="18"/>
        <v>12.340400000000001</v>
      </c>
      <c r="I412">
        <f t="shared" si="19"/>
        <v>9.7559000000000005</v>
      </c>
      <c r="J412" t="str">
        <f t="shared" si="20"/>
        <v>Positive</v>
      </c>
    </row>
    <row r="413" spans="1:10" x14ac:dyDescent="0.3">
      <c r="A413" s="2">
        <v>45815</v>
      </c>
      <c r="B413" t="s">
        <v>5</v>
      </c>
      <c r="C413" t="s">
        <v>8</v>
      </c>
      <c r="D413">
        <v>7135.96</v>
      </c>
      <c r="E413">
        <v>94</v>
      </c>
      <c r="F413">
        <v>8</v>
      </c>
      <c r="G413">
        <v>25856.12</v>
      </c>
      <c r="H413" s="7">
        <f t="shared" si="18"/>
        <v>8.5106000000000002</v>
      </c>
      <c r="I413">
        <f t="shared" si="19"/>
        <v>2.6234000000000002</v>
      </c>
      <c r="J413" t="str">
        <f t="shared" si="20"/>
        <v>Positive</v>
      </c>
    </row>
    <row r="414" spans="1:10" x14ac:dyDescent="0.3">
      <c r="A414" s="2">
        <v>45823</v>
      </c>
      <c r="B414" t="s">
        <v>10</v>
      </c>
      <c r="C414" t="s">
        <v>6</v>
      </c>
      <c r="D414">
        <v>11951.85</v>
      </c>
      <c r="E414">
        <v>193</v>
      </c>
      <c r="F414">
        <v>5</v>
      </c>
      <c r="G414">
        <v>6050.29</v>
      </c>
      <c r="H414" s="7">
        <f t="shared" si="18"/>
        <v>2.5907</v>
      </c>
      <c r="I414">
        <f t="shared" si="19"/>
        <v>-0.49380000000000002</v>
      </c>
      <c r="J414" t="str">
        <f t="shared" si="20"/>
        <v>Negative</v>
      </c>
    </row>
    <row r="415" spans="1:10" x14ac:dyDescent="0.3">
      <c r="A415" s="2">
        <v>45805</v>
      </c>
      <c r="B415" t="s">
        <v>7</v>
      </c>
      <c r="C415" t="s">
        <v>14</v>
      </c>
      <c r="D415">
        <v>8635.4599999999991</v>
      </c>
      <c r="E415">
        <v>115</v>
      </c>
      <c r="F415">
        <v>18</v>
      </c>
      <c r="G415">
        <v>81866.94</v>
      </c>
      <c r="H415" s="7">
        <f t="shared" si="18"/>
        <v>15.652200000000001</v>
      </c>
      <c r="I415">
        <f t="shared" si="19"/>
        <v>8.4802999999999997</v>
      </c>
      <c r="J415" t="str">
        <f t="shared" si="20"/>
        <v>Positive</v>
      </c>
    </row>
    <row r="416" spans="1:10" x14ac:dyDescent="0.3">
      <c r="A416" s="2">
        <v>45804</v>
      </c>
      <c r="B416" t="s">
        <v>13</v>
      </c>
      <c r="C416" t="s">
        <v>11</v>
      </c>
      <c r="D416">
        <v>5506.23</v>
      </c>
      <c r="E416">
        <v>166</v>
      </c>
      <c r="F416">
        <v>16</v>
      </c>
      <c r="G416">
        <v>49796.91</v>
      </c>
      <c r="H416" s="7">
        <f t="shared" si="18"/>
        <v>9.6386000000000003</v>
      </c>
      <c r="I416">
        <f t="shared" si="19"/>
        <v>8.0436999999999994</v>
      </c>
      <c r="J416" t="str">
        <f t="shared" si="20"/>
        <v>Positive</v>
      </c>
    </row>
    <row r="417" spans="1:10" x14ac:dyDescent="0.3">
      <c r="A417" s="2">
        <v>45705</v>
      </c>
      <c r="B417" t="s">
        <v>10</v>
      </c>
      <c r="C417" t="s">
        <v>6</v>
      </c>
      <c r="D417">
        <v>1141.71</v>
      </c>
      <c r="E417">
        <v>225</v>
      </c>
      <c r="F417">
        <v>87</v>
      </c>
      <c r="G417">
        <v>346787.84000000003</v>
      </c>
      <c r="H417" s="7">
        <f t="shared" si="18"/>
        <v>38.666699999999999</v>
      </c>
      <c r="I417">
        <f t="shared" si="19"/>
        <v>302.74419999999998</v>
      </c>
      <c r="J417" t="str">
        <f t="shared" si="20"/>
        <v>Positive</v>
      </c>
    </row>
    <row r="418" spans="1:10" x14ac:dyDescent="0.3">
      <c r="A418" s="2">
        <v>45830</v>
      </c>
      <c r="B418" t="s">
        <v>5</v>
      </c>
      <c r="C418" t="s">
        <v>6</v>
      </c>
      <c r="D418">
        <v>11382.12</v>
      </c>
      <c r="E418">
        <v>98</v>
      </c>
      <c r="F418">
        <v>39</v>
      </c>
      <c r="G418">
        <v>80583.600000000006</v>
      </c>
      <c r="H418" s="7">
        <f t="shared" si="18"/>
        <v>39.795900000000003</v>
      </c>
      <c r="I418">
        <f t="shared" si="19"/>
        <v>6.0797999999999996</v>
      </c>
      <c r="J418" t="str">
        <f t="shared" si="20"/>
        <v>Positive</v>
      </c>
    </row>
    <row r="419" spans="1:10" x14ac:dyDescent="0.3">
      <c r="A419" s="2">
        <v>46001</v>
      </c>
      <c r="B419" t="s">
        <v>10</v>
      </c>
      <c r="C419" t="s">
        <v>9</v>
      </c>
      <c r="D419">
        <v>7185.24</v>
      </c>
      <c r="E419">
        <v>181</v>
      </c>
      <c r="F419">
        <v>49</v>
      </c>
      <c r="G419">
        <v>275490.95</v>
      </c>
      <c r="H419" s="7">
        <f t="shared" si="18"/>
        <v>27.0718</v>
      </c>
      <c r="I419">
        <f t="shared" si="19"/>
        <v>37.341200000000001</v>
      </c>
      <c r="J419" t="str">
        <f t="shared" si="20"/>
        <v>Positive</v>
      </c>
    </row>
    <row r="420" spans="1:10" x14ac:dyDescent="0.3">
      <c r="A420" s="2">
        <v>45891</v>
      </c>
      <c r="B420" t="s">
        <v>12</v>
      </c>
      <c r="C420" t="s">
        <v>11</v>
      </c>
      <c r="D420">
        <v>5955.78</v>
      </c>
      <c r="E420">
        <v>42</v>
      </c>
      <c r="F420">
        <v>16</v>
      </c>
      <c r="G420">
        <v>64130.85</v>
      </c>
      <c r="H420" s="7">
        <f t="shared" si="18"/>
        <v>38.095199999999998</v>
      </c>
      <c r="I420">
        <f t="shared" si="19"/>
        <v>9.7677999999999994</v>
      </c>
      <c r="J420" t="str">
        <f t="shared" si="20"/>
        <v>Positive</v>
      </c>
    </row>
    <row r="421" spans="1:10" x14ac:dyDescent="0.3">
      <c r="A421" s="2">
        <v>45772</v>
      </c>
      <c r="B421" t="s">
        <v>7</v>
      </c>
      <c r="C421" t="s">
        <v>14</v>
      </c>
      <c r="D421">
        <v>14726.83</v>
      </c>
      <c r="E421">
        <v>203</v>
      </c>
      <c r="F421">
        <v>13</v>
      </c>
      <c r="G421">
        <v>31339.86</v>
      </c>
      <c r="H421" s="7">
        <f t="shared" si="18"/>
        <v>6.4039000000000001</v>
      </c>
      <c r="I421">
        <f t="shared" si="19"/>
        <v>1.1281000000000001</v>
      </c>
      <c r="J421" t="str">
        <f t="shared" si="20"/>
        <v>Positive</v>
      </c>
    </row>
    <row r="422" spans="1:10" x14ac:dyDescent="0.3">
      <c r="A422" s="2">
        <v>45735</v>
      </c>
      <c r="B422" t="s">
        <v>13</v>
      </c>
      <c r="C422" t="s">
        <v>8</v>
      </c>
      <c r="D422">
        <v>1008.95</v>
      </c>
      <c r="E422">
        <v>170</v>
      </c>
      <c r="F422">
        <v>56</v>
      </c>
      <c r="G422">
        <v>76066.759999999995</v>
      </c>
      <c r="H422" s="7">
        <f t="shared" si="18"/>
        <v>32.941200000000002</v>
      </c>
      <c r="I422">
        <f t="shared" si="19"/>
        <v>74.391999999999996</v>
      </c>
      <c r="J422" t="str">
        <f t="shared" si="20"/>
        <v>Positive</v>
      </c>
    </row>
    <row r="423" spans="1:10" x14ac:dyDescent="0.3">
      <c r="A423" s="2">
        <v>46006</v>
      </c>
      <c r="B423" t="s">
        <v>13</v>
      </c>
      <c r="C423" t="s">
        <v>6</v>
      </c>
      <c r="D423">
        <v>4857.41</v>
      </c>
      <c r="E423">
        <v>115</v>
      </c>
      <c r="F423">
        <v>16</v>
      </c>
      <c r="G423">
        <v>55436.66</v>
      </c>
      <c r="H423" s="7">
        <f t="shared" si="18"/>
        <v>13.913</v>
      </c>
      <c r="I423">
        <f t="shared" si="19"/>
        <v>10.412800000000001</v>
      </c>
      <c r="J423" t="str">
        <f t="shared" si="20"/>
        <v>Positive</v>
      </c>
    </row>
    <row r="424" spans="1:10" x14ac:dyDescent="0.3">
      <c r="A424" s="2">
        <v>45951</v>
      </c>
      <c r="B424" t="s">
        <v>13</v>
      </c>
      <c r="C424" t="s">
        <v>14</v>
      </c>
      <c r="D424">
        <v>1908.67</v>
      </c>
      <c r="E424">
        <v>250</v>
      </c>
      <c r="F424">
        <v>92</v>
      </c>
      <c r="G424">
        <v>198810.98</v>
      </c>
      <c r="H424" s="7">
        <f t="shared" si="18"/>
        <v>36.799999999999997</v>
      </c>
      <c r="I424">
        <f t="shared" si="19"/>
        <v>103.1621</v>
      </c>
      <c r="J424" t="str">
        <f t="shared" si="20"/>
        <v>Positive</v>
      </c>
    </row>
    <row r="425" spans="1:10" x14ac:dyDescent="0.3">
      <c r="A425" s="2">
        <v>45749</v>
      </c>
      <c r="B425" t="s">
        <v>13</v>
      </c>
      <c r="C425" t="s">
        <v>14</v>
      </c>
      <c r="D425">
        <v>13290.89</v>
      </c>
      <c r="E425">
        <v>165</v>
      </c>
      <c r="F425">
        <v>46</v>
      </c>
      <c r="G425">
        <v>138937.59</v>
      </c>
      <c r="H425" s="7">
        <f t="shared" si="18"/>
        <v>27.878799999999998</v>
      </c>
      <c r="I425">
        <f t="shared" si="19"/>
        <v>9.4535999999999998</v>
      </c>
      <c r="J425" t="str">
        <f t="shared" si="20"/>
        <v>Positive</v>
      </c>
    </row>
    <row r="426" spans="1:10" x14ac:dyDescent="0.3">
      <c r="A426" s="2">
        <v>45752</v>
      </c>
      <c r="B426" t="s">
        <v>5</v>
      </c>
      <c r="C426" t="s">
        <v>11</v>
      </c>
      <c r="D426">
        <v>13210.3</v>
      </c>
      <c r="E426">
        <v>209</v>
      </c>
      <c r="F426">
        <v>34</v>
      </c>
      <c r="G426">
        <v>59286.81</v>
      </c>
      <c r="H426" s="7">
        <f t="shared" si="18"/>
        <v>16.267900000000001</v>
      </c>
      <c r="I426">
        <f t="shared" si="19"/>
        <v>3.4878999999999998</v>
      </c>
      <c r="J426" t="str">
        <f t="shared" si="20"/>
        <v>Positive</v>
      </c>
    </row>
    <row r="427" spans="1:10" x14ac:dyDescent="0.3">
      <c r="A427" s="2">
        <v>45871</v>
      </c>
      <c r="B427" t="s">
        <v>12</v>
      </c>
      <c r="C427" t="s">
        <v>6</v>
      </c>
      <c r="D427">
        <v>8392.66</v>
      </c>
      <c r="E427">
        <v>112</v>
      </c>
      <c r="F427">
        <v>39</v>
      </c>
      <c r="G427">
        <v>195618.28</v>
      </c>
      <c r="H427" s="7">
        <f t="shared" si="18"/>
        <v>34.821399999999997</v>
      </c>
      <c r="I427">
        <f t="shared" si="19"/>
        <v>22.308299999999999</v>
      </c>
      <c r="J427" t="str">
        <f t="shared" si="20"/>
        <v>Positive</v>
      </c>
    </row>
    <row r="428" spans="1:10" x14ac:dyDescent="0.3">
      <c r="A428" s="2">
        <v>45865</v>
      </c>
      <c r="B428" t="s">
        <v>7</v>
      </c>
      <c r="C428" t="s">
        <v>6</v>
      </c>
      <c r="D428">
        <v>9453.83</v>
      </c>
      <c r="E428">
        <v>44</v>
      </c>
      <c r="F428">
        <v>1</v>
      </c>
      <c r="G428">
        <v>5508.66</v>
      </c>
      <c r="H428" s="7">
        <f t="shared" si="18"/>
        <v>2.2726999999999999</v>
      </c>
      <c r="I428">
        <f t="shared" si="19"/>
        <v>-0.4173</v>
      </c>
      <c r="J428" t="str">
        <f t="shared" si="20"/>
        <v>Negative</v>
      </c>
    </row>
    <row r="429" spans="1:10" x14ac:dyDescent="0.3">
      <c r="A429" s="2">
        <v>46002</v>
      </c>
      <c r="B429" t="s">
        <v>13</v>
      </c>
      <c r="C429" t="s">
        <v>11</v>
      </c>
      <c r="D429">
        <v>13400.57</v>
      </c>
      <c r="E429">
        <v>174</v>
      </c>
      <c r="F429">
        <v>50</v>
      </c>
      <c r="G429">
        <v>143150.07999999999</v>
      </c>
      <c r="H429" s="7">
        <f t="shared" si="18"/>
        <v>28.735600000000002</v>
      </c>
      <c r="I429">
        <f t="shared" si="19"/>
        <v>9.6823999999999995</v>
      </c>
      <c r="J429" t="str">
        <f t="shared" si="20"/>
        <v>Positive</v>
      </c>
    </row>
    <row r="430" spans="1:10" x14ac:dyDescent="0.3">
      <c r="A430" s="2">
        <v>45919</v>
      </c>
      <c r="B430" t="s">
        <v>5</v>
      </c>
      <c r="C430" t="s">
        <v>9</v>
      </c>
      <c r="D430">
        <v>5489.86</v>
      </c>
      <c r="E430">
        <v>247</v>
      </c>
      <c r="F430">
        <v>17</v>
      </c>
      <c r="G430">
        <v>84438.44</v>
      </c>
      <c r="H430" s="7">
        <f t="shared" si="18"/>
        <v>6.8826000000000001</v>
      </c>
      <c r="I430">
        <f t="shared" si="19"/>
        <v>14.380800000000001</v>
      </c>
      <c r="J430" t="str">
        <f t="shared" si="20"/>
        <v>Positive</v>
      </c>
    </row>
    <row r="431" spans="1:10" x14ac:dyDescent="0.3">
      <c r="A431" s="2">
        <v>46017</v>
      </c>
      <c r="B431" t="s">
        <v>13</v>
      </c>
      <c r="C431" t="s">
        <v>14</v>
      </c>
      <c r="D431">
        <v>10329.76</v>
      </c>
      <c r="E431">
        <v>33</v>
      </c>
      <c r="F431">
        <v>5</v>
      </c>
      <c r="G431">
        <v>29266.7</v>
      </c>
      <c r="H431" s="7">
        <f t="shared" si="18"/>
        <v>15.1515</v>
      </c>
      <c r="I431">
        <f t="shared" si="19"/>
        <v>1.8331999999999999</v>
      </c>
      <c r="J431" t="str">
        <f t="shared" si="20"/>
        <v>Positive</v>
      </c>
    </row>
    <row r="432" spans="1:10" x14ac:dyDescent="0.3">
      <c r="A432" s="2">
        <v>45823</v>
      </c>
      <c r="B432" t="s">
        <v>5</v>
      </c>
      <c r="C432" t="s">
        <v>9</v>
      </c>
      <c r="D432">
        <v>4832.18</v>
      </c>
      <c r="E432">
        <v>211</v>
      </c>
      <c r="F432">
        <v>15</v>
      </c>
      <c r="G432">
        <v>66128.11</v>
      </c>
      <c r="H432" s="7">
        <f t="shared" si="18"/>
        <v>7.109</v>
      </c>
      <c r="I432">
        <f t="shared" si="19"/>
        <v>12.684900000000001</v>
      </c>
      <c r="J432" t="str">
        <f t="shared" si="20"/>
        <v>Positive</v>
      </c>
    </row>
    <row r="433" spans="1:10" x14ac:dyDescent="0.3">
      <c r="A433" s="2">
        <v>45968</v>
      </c>
      <c r="B433" t="s">
        <v>13</v>
      </c>
      <c r="C433" t="s">
        <v>11</v>
      </c>
      <c r="D433">
        <v>8613.24</v>
      </c>
      <c r="E433">
        <v>217</v>
      </c>
      <c r="F433">
        <v>86</v>
      </c>
      <c r="G433">
        <v>191407.64</v>
      </c>
      <c r="H433" s="7">
        <f t="shared" si="18"/>
        <v>39.631300000000003</v>
      </c>
      <c r="I433">
        <f t="shared" si="19"/>
        <v>21.2225</v>
      </c>
      <c r="J433" t="str">
        <f t="shared" si="20"/>
        <v>Positive</v>
      </c>
    </row>
    <row r="434" spans="1:10" x14ac:dyDescent="0.3">
      <c r="A434" s="2">
        <v>45789</v>
      </c>
      <c r="B434" t="s">
        <v>13</v>
      </c>
      <c r="C434" t="s">
        <v>9</v>
      </c>
      <c r="D434">
        <v>14740.1</v>
      </c>
      <c r="E434">
        <v>167</v>
      </c>
      <c r="F434">
        <v>50</v>
      </c>
      <c r="G434">
        <v>201784.87</v>
      </c>
      <c r="H434" s="7">
        <f t="shared" si="18"/>
        <v>29.940100000000001</v>
      </c>
      <c r="I434">
        <f t="shared" si="19"/>
        <v>12.689500000000001</v>
      </c>
      <c r="J434" t="str">
        <f t="shared" si="20"/>
        <v>Positive</v>
      </c>
    </row>
    <row r="435" spans="1:10" x14ac:dyDescent="0.3">
      <c r="A435" s="2">
        <v>45780</v>
      </c>
      <c r="B435" t="s">
        <v>12</v>
      </c>
      <c r="C435" t="s">
        <v>14</v>
      </c>
      <c r="D435">
        <v>3849.05</v>
      </c>
      <c r="E435">
        <v>53</v>
      </c>
      <c r="F435">
        <v>7</v>
      </c>
      <c r="G435">
        <v>23428.6</v>
      </c>
      <c r="H435" s="7">
        <f t="shared" si="18"/>
        <v>13.2075</v>
      </c>
      <c r="I435">
        <f t="shared" si="19"/>
        <v>5.0869</v>
      </c>
      <c r="J435" t="str">
        <f t="shared" si="20"/>
        <v>Positive</v>
      </c>
    </row>
    <row r="436" spans="1:10" x14ac:dyDescent="0.3">
      <c r="A436" s="2">
        <v>45851</v>
      </c>
      <c r="B436" t="s">
        <v>13</v>
      </c>
      <c r="C436" t="s">
        <v>9</v>
      </c>
      <c r="D436">
        <v>2971.05</v>
      </c>
      <c r="E436">
        <v>168</v>
      </c>
      <c r="F436">
        <v>3</v>
      </c>
      <c r="G436">
        <v>6018.75</v>
      </c>
      <c r="H436" s="7">
        <f t="shared" si="18"/>
        <v>1.7857000000000001</v>
      </c>
      <c r="I436">
        <f t="shared" si="19"/>
        <v>1.0258</v>
      </c>
      <c r="J436" t="str">
        <f t="shared" si="20"/>
        <v>Positive</v>
      </c>
    </row>
    <row r="437" spans="1:10" x14ac:dyDescent="0.3">
      <c r="A437" s="2">
        <v>45700</v>
      </c>
      <c r="B437" t="s">
        <v>13</v>
      </c>
      <c r="C437" t="s">
        <v>14</v>
      </c>
      <c r="D437">
        <v>5784.57</v>
      </c>
      <c r="E437">
        <v>90</v>
      </c>
      <c r="F437">
        <v>26</v>
      </c>
      <c r="G437">
        <v>127735.75</v>
      </c>
      <c r="H437" s="7">
        <f t="shared" si="18"/>
        <v>28.8889</v>
      </c>
      <c r="I437">
        <f t="shared" si="19"/>
        <v>21.0822</v>
      </c>
      <c r="J437" t="str">
        <f t="shared" si="20"/>
        <v>Positive</v>
      </c>
    </row>
    <row r="438" spans="1:10" x14ac:dyDescent="0.3">
      <c r="A438" s="2">
        <v>45936</v>
      </c>
      <c r="B438" t="s">
        <v>12</v>
      </c>
      <c r="C438" t="s">
        <v>14</v>
      </c>
      <c r="D438">
        <v>13459.25</v>
      </c>
      <c r="E438">
        <v>59</v>
      </c>
      <c r="F438">
        <v>20</v>
      </c>
      <c r="G438">
        <v>34758.86</v>
      </c>
      <c r="H438" s="7">
        <f t="shared" si="18"/>
        <v>33.898299999999999</v>
      </c>
      <c r="I438">
        <f t="shared" si="19"/>
        <v>1.5825</v>
      </c>
      <c r="J438" t="str">
        <f t="shared" si="20"/>
        <v>Positive</v>
      </c>
    </row>
    <row r="439" spans="1:10" x14ac:dyDescent="0.3">
      <c r="A439" s="2">
        <v>46021</v>
      </c>
      <c r="B439" t="s">
        <v>12</v>
      </c>
      <c r="C439" t="s">
        <v>11</v>
      </c>
      <c r="D439">
        <v>6890.17</v>
      </c>
      <c r="E439">
        <v>171</v>
      </c>
      <c r="F439">
        <v>49</v>
      </c>
      <c r="G439">
        <v>122470.07</v>
      </c>
      <c r="H439" s="7">
        <f t="shared" si="18"/>
        <v>28.655000000000001</v>
      </c>
      <c r="I439">
        <f t="shared" si="19"/>
        <v>16.7746</v>
      </c>
      <c r="J439" t="str">
        <f t="shared" si="20"/>
        <v>Positive</v>
      </c>
    </row>
    <row r="440" spans="1:10" x14ac:dyDescent="0.3">
      <c r="A440" s="2">
        <v>45699</v>
      </c>
      <c r="B440" t="s">
        <v>10</v>
      </c>
      <c r="C440" t="s">
        <v>11</v>
      </c>
      <c r="D440">
        <v>6598.98</v>
      </c>
      <c r="E440">
        <v>158</v>
      </c>
      <c r="F440">
        <v>45</v>
      </c>
      <c r="G440">
        <v>126437.99</v>
      </c>
      <c r="H440" s="7">
        <f t="shared" si="18"/>
        <v>28.481000000000002</v>
      </c>
      <c r="I440">
        <f t="shared" si="19"/>
        <v>18.1602</v>
      </c>
      <c r="J440" t="str">
        <f t="shared" si="20"/>
        <v>Positive</v>
      </c>
    </row>
    <row r="441" spans="1:10" x14ac:dyDescent="0.3">
      <c r="A441" s="2">
        <v>45791</v>
      </c>
      <c r="B441" t="s">
        <v>5</v>
      </c>
      <c r="C441" t="s">
        <v>8</v>
      </c>
      <c r="D441">
        <v>7710.12</v>
      </c>
      <c r="E441">
        <v>231</v>
      </c>
      <c r="F441">
        <v>24</v>
      </c>
      <c r="G441">
        <v>108127.5</v>
      </c>
      <c r="H441" s="7">
        <f t="shared" si="18"/>
        <v>10.3896</v>
      </c>
      <c r="I441">
        <f t="shared" si="19"/>
        <v>13.024100000000001</v>
      </c>
      <c r="J441" t="str">
        <f t="shared" si="20"/>
        <v>Positive</v>
      </c>
    </row>
    <row r="442" spans="1:10" x14ac:dyDescent="0.3">
      <c r="A442" s="2">
        <v>45703</v>
      </c>
      <c r="B442" t="s">
        <v>7</v>
      </c>
      <c r="C442" t="s">
        <v>14</v>
      </c>
      <c r="D442">
        <v>3291.72</v>
      </c>
      <c r="E442">
        <v>66</v>
      </c>
      <c r="F442">
        <v>14</v>
      </c>
      <c r="G442">
        <v>78432.479999999996</v>
      </c>
      <c r="H442" s="7">
        <f t="shared" si="18"/>
        <v>21.2121</v>
      </c>
      <c r="I442">
        <f t="shared" si="19"/>
        <v>22.827200000000001</v>
      </c>
      <c r="J442" t="str">
        <f t="shared" si="20"/>
        <v>Positive</v>
      </c>
    </row>
    <row r="443" spans="1:10" x14ac:dyDescent="0.3">
      <c r="A443" s="2">
        <v>45691</v>
      </c>
      <c r="B443" t="s">
        <v>10</v>
      </c>
      <c r="C443" t="s">
        <v>14</v>
      </c>
      <c r="D443">
        <v>2901.71</v>
      </c>
      <c r="E443">
        <v>201</v>
      </c>
      <c r="F443">
        <v>50</v>
      </c>
      <c r="G443">
        <v>233656.7</v>
      </c>
      <c r="H443" s="7">
        <f t="shared" si="18"/>
        <v>24.875599999999999</v>
      </c>
      <c r="I443">
        <f t="shared" si="19"/>
        <v>79.523799999999994</v>
      </c>
      <c r="J443" t="str">
        <f t="shared" si="20"/>
        <v>Positive</v>
      </c>
    </row>
    <row r="444" spans="1:10" x14ac:dyDescent="0.3">
      <c r="A444" s="2">
        <v>45775</v>
      </c>
      <c r="B444" t="s">
        <v>5</v>
      </c>
      <c r="C444" t="s">
        <v>11</v>
      </c>
      <c r="D444">
        <v>14853.19</v>
      </c>
      <c r="E444">
        <v>157</v>
      </c>
      <c r="F444">
        <v>11</v>
      </c>
      <c r="G444">
        <v>21228.74</v>
      </c>
      <c r="H444" s="7">
        <f t="shared" si="18"/>
        <v>7.0064000000000002</v>
      </c>
      <c r="I444">
        <f t="shared" si="19"/>
        <v>0.42920000000000003</v>
      </c>
      <c r="J444" t="str">
        <f t="shared" si="20"/>
        <v>Positive</v>
      </c>
    </row>
    <row r="445" spans="1:10" x14ac:dyDescent="0.3">
      <c r="A445" s="2">
        <v>45897</v>
      </c>
      <c r="B445" t="s">
        <v>12</v>
      </c>
      <c r="C445" t="s">
        <v>14</v>
      </c>
      <c r="D445">
        <v>4888.84</v>
      </c>
      <c r="E445">
        <v>225</v>
      </c>
      <c r="F445">
        <v>1</v>
      </c>
      <c r="G445">
        <v>4301.33</v>
      </c>
      <c r="H445" s="7">
        <f t="shared" si="18"/>
        <v>0.44440000000000002</v>
      </c>
      <c r="I445">
        <f t="shared" si="19"/>
        <v>-0.1202</v>
      </c>
      <c r="J445" t="str">
        <f t="shared" si="20"/>
        <v>Negative</v>
      </c>
    </row>
    <row r="446" spans="1:10" x14ac:dyDescent="0.3">
      <c r="A446" s="2">
        <v>45661</v>
      </c>
      <c r="B446" t="s">
        <v>10</v>
      </c>
      <c r="C446" t="s">
        <v>14</v>
      </c>
      <c r="D446">
        <v>6005.19</v>
      </c>
      <c r="E446">
        <v>165</v>
      </c>
      <c r="F446">
        <v>8</v>
      </c>
      <c r="G446">
        <v>34158.379999999997</v>
      </c>
      <c r="H446" s="7">
        <f t="shared" si="18"/>
        <v>4.8484999999999996</v>
      </c>
      <c r="I446">
        <f t="shared" si="19"/>
        <v>4.6881000000000004</v>
      </c>
      <c r="J446" t="str">
        <f t="shared" si="20"/>
        <v>Positive</v>
      </c>
    </row>
    <row r="447" spans="1:10" x14ac:dyDescent="0.3">
      <c r="A447" s="2">
        <v>45954</v>
      </c>
      <c r="B447" t="s">
        <v>12</v>
      </c>
      <c r="C447" t="s">
        <v>8</v>
      </c>
      <c r="D447">
        <v>10719.08</v>
      </c>
      <c r="E447">
        <v>192</v>
      </c>
      <c r="F447">
        <v>74</v>
      </c>
      <c r="G447">
        <v>177493.68</v>
      </c>
      <c r="H447" s="7">
        <f t="shared" si="18"/>
        <v>38.541699999999999</v>
      </c>
      <c r="I447">
        <f t="shared" si="19"/>
        <v>15.5587</v>
      </c>
      <c r="J447" t="str">
        <f t="shared" si="20"/>
        <v>Positive</v>
      </c>
    </row>
    <row r="448" spans="1:10" x14ac:dyDescent="0.3">
      <c r="A448" s="2">
        <v>45830</v>
      </c>
      <c r="B448" t="s">
        <v>5</v>
      </c>
      <c r="C448" t="s">
        <v>11</v>
      </c>
      <c r="D448">
        <v>1635.66</v>
      </c>
      <c r="E448">
        <v>145</v>
      </c>
      <c r="F448">
        <v>22</v>
      </c>
      <c r="G448">
        <v>72974.03</v>
      </c>
      <c r="H448" s="7">
        <f t="shared" si="18"/>
        <v>15.1724</v>
      </c>
      <c r="I448">
        <f t="shared" si="19"/>
        <v>43.614400000000003</v>
      </c>
      <c r="J448" t="str">
        <f t="shared" si="20"/>
        <v>Positive</v>
      </c>
    </row>
    <row r="449" spans="1:10" x14ac:dyDescent="0.3">
      <c r="A449" s="2">
        <v>45883</v>
      </c>
      <c r="B449" t="s">
        <v>10</v>
      </c>
      <c r="C449" t="s">
        <v>9</v>
      </c>
      <c r="D449">
        <v>5986.22</v>
      </c>
      <c r="E449">
        <v>83</v>
      </c>
      <c r="F449">
        <v>7</v>
      </c>
      <c r="G449">
        <v>31039.49</v>
      </c>
      <c r="H449" s="7">
        <f t="shared" si="18"/>
        <v>8.4337</v>
      </c>
      <c r="I449">
        <f t="shared" si="19"/>
        <v>4.1852</v>
      </c>
      <c r="J449" t="str">
        <f t="shared" si="20"/>
        <v>Positive</v>
      </c>
    </row>
    <row r="450" spans="1:10" x14ac:dyDescent="0.3">
      <c r="A450" s="2">
        <v>45892</v>
      </c>
      <c r="B450" t="s">
        <v>7</v>
      </c>
      <c r="C450" t="s">
        <v>11</v>
      </c>
      <c r="D450">
        <v>2018.9</v>
      </c>
      <c r="E450">
        <v>240</v>
      </c>
      <c r="F450">
        <v>96</v>
      </c>
      <c r="G450">
        <v>161637.99</v>
      </c>
      <c r="H450" s="7">
        <f t="shared" ref="H450:H513" si="21">ROUND((F450/E450)*100,4)</f>
        <v>40</v>
      </c>
      <c r="I450">
        <f t="shared" ref="I450:I513" si="22">ROUND(((G450-D450)/D450),4)</f>
        <v>79.062399999999997</v>
      </c>
      <c r="J450" t="str">
        <f t="shared" si="20"/>
        <v>Positive</v>
      </c>
    </row>
    <row r="451" spans="1:10" x14ac:dyDescent="0.3">
      <c r="A451" s="2">
        <v>45711</v>
      </c>
      <c r="B451" t="s">
        <v>12</v>
      </c>
      <c r="C451" t="s">
        <v>8</v>
      </c>
      <c r="D451">
        <v>11148.95</v>
      </c>
      <c r="E451">
        <v>124</v>
      </c>
      <c r="F451">
        <v>43</v>
      </c>
      <c r="G451">
        <v>180630</v>
      </c>
      <c r="H451" s="7">
        <f t="shared" si="21"/>
        <v>34.677399999999999</v>
      </c>
      <c r="I451">
        <f t="shared" si="22"/>
        <v>15.201499999999999</v>
      </c>
      <c r="J451" t="str">
        <f t="shared" ref="J451:J514" si="23">IF(I451&gt;0,"Positive","Negative")</f>
        <v>Positive</v>
      </c>
    </row>
    <row r="452" spans="1:10" x14ac:dyDescent="0.3">
      <c r="A452" s="2">
        <v>45779</v>
      </c>
      <c r="B452" t="s">
        <v>5</v>
      </c>
      <c r="C452" t="s">
        <v>6</v>
      </c>
      <c r="D452">
        <v>3078.55</v>
      </c>
      <c r="E452">
        <v>225</v>
      </c>
      <c r="F452">
        <v>16</v>
      </c>
      <c r="G452">
        <v>74040.06</v>
      </c>
      <c r="H452" s="7">
        <f t="shared" si="21"/>
        <v>7.1111000000000004</v>
      </c>
      <c r="I452">
        <f t="shared" si="22"/>
        <v>23.0503</v>
      </c>
      <c r="J452" t="str">
        <f t="shared" si="23"/>
        <v>Positive</v>
      </c>
    </row>
    <row r="453" spans="1:10" x14ac:dyDescent="0.3">
      <c r="A453" s="2">
        <v>45725</v>
      </c>
      <c r="B453" t="s">
        <v>7</v>
      </c>
      <c r="C453" t="s">
        <v>6</v>
      </c>
      <c r="D453">
        <v>9058.14</v>
      </c>
      <c r="E453">
        <v>221</v>
      </c>
      <c r="F453">
        <v>36</v>
      </c>
      <c r="G453">
        <v>155804.51999999999</v>
      </c>
      <c r="H453" s="7">
        <f t="shared" si="21"/>
        <v>16.2896</v>
      </c>
      <c r="I453">
        <f t="shared" si="22"/>
        <v>16.200500000000002</v>
      </c>
      <c r="J453" t="str">
        <f t="shared" si="23"/>
        <v>Positive</v>
      </c>
    </row>
    <row r="454" spans="1:10" x14ac:dyDescent="0.3">
      <c r="A454" s="2">
        <v>45888</v>
      </c>
      <c r="B454" t="s">
        <v>10</v>
      </c>
      <c r="C454" t="s">
        <v>6</v>
      </c>
      <c r="D454">
        <v>12415.96</v>
      </c>
      <c r="E454">
        <v>93</v>
      </c>
      <c r="F454">
        <v>24</v>
      </c>
      <c r="G454">
        <v>71881.490000000005</v>
      </c>
      <c r="H454" s="7">
        <f t="shared" si="21"/>
        <v>25.8065</v>
      </c>
      <c r="I454">
        <f t="shared" si="22"/>
        <v>4.7893999999999997</v>
      </c>
      <c r="J454" t="str">
        <f t="shared" si="23"/>
        <v>Positive</v>
      </c>
    </row>
    <row r="455" spans="1:10" x14ac:dyDescent="0.3">
      <c r="A455" s="2">
        <v>45847</v>
      </c>
      <c r="B455" t="s">
        <v>7</v>
      </c>
      <c r="C455" t="s">
        <v>11</v>
      </c>
      <c r="D455">
        <v>10894.28</v>
      </c>
      <c r="E455">
        <v>158</v>
      </c>
      <c r="F455">
        <v>7</v>
      </c>
      <c r="G455">
        <v>40100.769999999997</v>
      </c>
      <c r="H455" s="7">
        <f t="shared" si="21"/>
        <v>4.4303999999999997</v>
      </c>
      <c r="I455">
        <f t="shared" si="22"/>
        <v>2.6808999999999998</v>
      </c>
      <c r="J455" t="str">
        <f t="shared" si="23"/>
        <v>Positive</v>
      </c>
    </row>
    <row r="456" spans="1:10" x14ac:dyDescent="0.3">
      <c r="A456" s="2">
        <v>45796</v>
      </c>
      <c r="B456" t="s">
        <v>10</v>
      </c>
      <c r="C456" t="s">
        <v>14</v>
      </c>
      <c r="D456">
        <v>9491.76</v>
      </c>
      <c r="E456">
        <v>168</v>
      </c>
      <c r="F456">
        <v>2</v>
      </c>
      <c r="G456">
        <v>9185.68</v>
      </c>
      <c r="H456" s="7">
        <f t="shared" si="21"/>
        <v>1.1904999999999999</v>
      </c>
      <c r="I456">
        <f t="shared" si="22"/>
        <v>-3.2199999999999999E-2</v>
      </c>
      <c r="J456" t="str">
        <f t="shared" si="23"/>
        <v>Negative</v>
      </c>
    </row>
    <row r="457" spans="1:10" x14ac:dyDescent="0.3">
      <c r="A457" s="2">
        <v>45746</v>
      </c>
      <c r="B457" t="s">
        <v>13</v>
      </c>
      <c r="C457" t="s">
        <v>9</v>
      </c>
      <c r="D457">
        <v>12684.54</v>
      </c>
      <c r="E457">
        <v>242</v>
      </c>
      <c r="F457">
        <v>89</v>
      </c>
      <c r="G457">
        <v>284908.06</v>
      </c>
      <c r="H457" s="7">
        <f t="shared" si="21"/>
        <v>36.776899999999998</v>
      </c>
      <c r="I457">
        <f t="shared" si="22"/>
        <v>21.460999999999999</v>
      </c>
      <c r="J457" t="str">
        <f t="shared" si="23"/>
        <v>Positive</v>
      </c>
    </row>
    <row r="458" spans="1:10" x14ac:dyDescent="0.3">
      <c r="A458" s="2">
        <v>45679</v>
      </c>
      <c r="B458" t="s">
        <v>7</v>
      </c>
      <c r="C458" t="s">
        <v>9</v>
      </c>
      <c r="D458">
        <v>8965.08</v>
      </c>
      <c r="E458">
        <v>110</v>
      </c>
      <c r="F458">
        <v>9</v>
      </c>
      <c r="G458">
        <v>44324.44</v>
      </c>
      <c r="H458" s="7">
        <f t="shared" si="21"/>
        <v>8.1818000000000008</v>
      </c>
      <c r="I458">
        <f t="shared" si="22"/>
        <v>3.9441000000000002</v>
      </c>
      <c r="J458" t="str">
        <f t="shared" si="23"/>
        <v>Positive</v>
      </c>
    </row>
    <row r="459" spans="1:10" x14ac:dyDescent="0.3">
      <c r="A459" s="2">
        <v>46007</v>
      </c>
      <c r="B459" t="s">
        <v>13</v>
      </c>
      <c r="C459" t="s">
        <v>14</v>
      </c>
      <c r="D459">
        <v>11761.29</v>
      </c>
      <c r="E459">
        <v>227</v>
      </c>
      <c r="F459">
        <v>29</v>
      </c>
      <c r="G459">
        <v>158323.70000000001</v>
      </c>
      <c r="H459" s="7">
        <f t="shared" si="21"/>
        <v>12.7753</v>
      </c>
      <c r="I459">
        <f t="shared" si="22"/>
        <v>12.461399999999999</v>
      </c>
      <c r="J459" t="str">
        <f t="shared" si="23"/>
        <v>Positive</v>
      </c>
    </row>
    <row r="460" spans="1:10" x14ac:dyDescent="0.3">
      <c r="A460" s="2">
        <v>45774</v>
      </c>
      <c r="B460" t="s">
        <v>7</v>
      </c>
      <c r="C460" t="s">
        <v>14</v>
      </c>
      <c r="D460">
        <v>9544.26</v>
      </c>
      <c r="E460">
        <v>133</v>
      </c>
      <c r="F460">
        <v>38</v>
      </c>
      <c r="G460">
        <v>102355.27</v>
      </c>
      <c r="H460" s="7">
        <f t="shared" si="21"/>
        <v>28.571400000000001</v>
      </c>
      <c r="I460">
        <f t="shared" si="22"/>
        <v>9.7242999999999995</v>
      </c>
      <c r="J460" t="str">
        <f t="shared" si="23"/>
        <v>Positive</v>
      </c>
    </row>
    <row r="461" spans="1:10" x14ac:dyDescent="0.3">
      <c r="A461" s="2">
        <v>45836</v>
      </c>
      <c r="B461" t="s">
        <v>5</v>
      </c>
      <c r="C461" t="s">
        <v>11</v>
      </c>
      <c r="D461">
        <v>3129.17</v>
      </c>
      <c r="E461">
        <v>95</v>
      </c>
      <c r="F461">
        <v>10</v>
      </c>
      <c r="G461">
        <v>22847.09</v>
      </c>
      <c r="H461" s="7">
        <f t="shared" si="21"/>
        <v>10.526300000000001</v>
      </c>
      <c r="I461">
        <f t="shared" si="22"/>
        <v>6.3013000000000003</v>
      </c>
      <c r="J461" t="str">
        <f t="shared" si="23"/>
        <v>Positive</v>
      </c>
    </row>
    <row r="462" spans="1:10" x14ac:dyDescent="0.3">
      <c r="A462" s="2">
        <v>45738</v>
      </c>
      <c r="B462" t="s">
        <v>5</v>
      </c>
      <c r="C462" t="s">
        <v>6</v>
      </c>
      <c r="D462">
        <v>14068.75</v>
      </c>
      <c r="E462">
        <v>235</v>
      </c>
      <c r="F462">
        <v>80</v>
      </c>
      <c r="G462">
        <v>203922.37</v>
      </c>
      <c r="H462" s="7">
        <f t="shared" si="21"/>
        <v>34.0426</v>
      </c>
      <c r="I462">
        <f t="shared" si="22"/>
        <v>13.4947</v>
      </c>
      <c r="J462" t="str">
        <f t="shared" si="23"/>
        <v>Positive</v>
      </c>
    </row>
    <row r="463" spans="1:10" x14ac:dyDescent="0.3">
      <c r="A463" s="2">
        <v>45894</v>
      </c>
      <c r="B463" t="s">
        <v>7</v>
      </c>
      <c r="C463" t="s">
        <v>6</v>
      </c>
      <c r="D463">
        <v>1074.57</v>
      </c>
      <c r="E463">
        <v>209</v>
      </c>
      <c r="F463">
        <v>69</v>
      </c>
      <c r="G463">
        <v>351016.7</v>
      </c>
      <c r="H463" s="7">
        <f t="shared" si="21"/>
        <v>33.014400000000002</v>
      </c>
      <c r="I463">
        <f t="shared" si="22"/>
        <v>325.65780000000001</v>
      </c>
      <c r="J463" t="str">
        <f t="shared" si="23"/>
        <v>Positive</v>
      </c>
    </row>
    <row r="464" spans="1:10" x14ac:dyDescent="0.3">
      <c r="A464" s="2">
        <v>45882</v>
      </c>
      <c r="B464" t="s">
        <v>7</v>
      </c>
      <c r="C464" t="s">
        <v>11</v>
      </c>
      <c r="D464">
        <v>4674.42</v>
      </c>
      <c r="E464">
        <v>179</v>
      </c>
      <c r="F464">
        <v>66</v>
      </c>
      <c r="G464">
        <v>121588.79</v>
      </c>
      <c r="H464" s="7">
        <f t="shared" si="21"/>
        <v>36.871499999999997</v>
      </c>
      <c r="I464">
        <f t="shared" si="22"/>
        <v>25.011500000000002</v>
      </c>
      <c r="J464" t="str">
        <f t="shared" si="23"/>
        <v>Positive</v>
      </c>
    </row>
    <row r="465" spans="1:10" x14ac:dyDescent="0.3">
      <c r="A465" s="2">
        <v>45949</v>
      </c>
      <c r="B465" t="s">
        <v>5</v>
      </c>
      <c r="C465" t="s">
        <v>6</v>
      </c>
      <c r="D465">
        <v>6063.44</v>
      </c>
      <c r="E465">
        <v>224</v>
      </c>
      <c r="F465">
        <v>80</v>
      </c>
      <c r="G465">
        <v>473920.85</v>
      </c>
      <c r="H465" s="7">
        <f t="shared" si="21"/>
        <v>35.714300000000001</v>
      </c>
      <c r="I465">
        <f t="shared" si="22"/>
        <v>77.160399999999996</v>
      </c>
      <c r="J465" t="str">
        <f t="shared" si="23"/>
        <v>Positive</v>
      </c>
    </row>
    <row r="466" spans="1:10" x14ac:dyDescent="0.3">
      <c r="A466" s="2">
        <v>46001</v>
      </c>
      <c r="B466" t="s">
        <v>7</v>
      </c>
      <c r="C466" t="s">
        <v>14</v>
      </c>
      <c r="D466">
        <v>13522.41</v>
      </c>
      <c r="E466">
        <v>27</v>
      </c>
      <c r="F466">
        <v>9</v>
      </c>
      <c r="G466">
        <v>45802.35</v>
      </c>
      <c r="H466" s="7">
        <f t="shared" si="21"/>
        <v>33.333300000000001</v>
      </c>
      <c r="I466">
        <f t="shared" si="22"/>
        <v>2.3871000000000002</v>
      </c>
      <c r="J466" t="str">
        <f t="shared" si="23"/>
        <v>Positive</v>
      </c>
    </row>
    <row r="467" spans="1:10" x14ac:dyDescent="0.3">
      <c r="A467" s="2">
        <v>45899</v>
      </c>
      <c r="B467" t="s">
        <v>10</v>
      </c>
      <c r="C467" t="s">
        <v>9</v>
      </c>
      <c r="D467">
        <v>6854.55</v>
      </c>
      <c r="E467">
        <v>173</v>
      </c>
      <c r="F467">
        <v>27</v>
      </c>
      <c r="G467">
        <v>142400.93</v>
      </c>
      <c r="H467" s="7">
        <f t="shared" si="21"/>
        <v>15.6069</v>
      </c>
      <c r="I467">
        <f t="shared" si="22"/>
        <v>19.774699999999999</v>
      </c>
      <c r="J467" t="str">
        <f t="shared" si="23"/>
        <v>Positive</v>
      </c>
    </row>
    <row r="468" spans="1:10" x14ac:dyDescent="0.3">
      <c r="A468" s="2">
        <v>45945</v>
      </c>
      <c r="B468" t="s">
        <v>7</v>
      </c>
      <c r="C468" t="s">
        <v>6</v>
      </c>
      <c r="D468">
        <v>9917.01</v>
      </c>
      <c r="E468">
        <v>242</v>
      </c>
      <c r="F468">
        <v>43</v>
      </c>
      <c r="G468">
        <v>108833.60000000001</v>
      </c>
      <c r="H468" s="7">
        <f t="shared" si="21"/>
        <v>17.768599999999999</v>
      </c>
      <c r="I468">
        <f t="shared" si="22"/>
        <v>9.9743999999999993</v>
      </c>
      <c r="J468" t="str">
        <f t="shared" si="23"/>
        <v>Positive</v>
      </c>
    </row>
    <row r="469" spans="1:10" x14ac:dyDescent="0.3">
      <c r="A469" s="2">
        <v>46001</v>
      </c>
      <c r="B469" t="s">
        <v>12</v>
      </c>
      <c r="C469" t="s">
        <v>8</v>
      </c>
      <c r="D469">
        <v>3746.19</v>
      </c>
      <c r="E469">
        <v>243</v>
      </c>
      <c r="F469">
        <v>46</v>
      </c>
      <c r="G469">
        <v>47538.64</v>
      </c>
      <c r="H469" s="7">
        <f t="shared" si="21"/>
        <v>18.93</v>
      </c>
      <c r="I469">
        <f t="shared" si="22"/>
        <v>11.6899</v>
      </c>
      <c r="J469" t="str">
        <f t="shared" si="23"/>
        <v>Positive</v>
      </c>
    </row>
    <row r="470" spans="1:10" x14ac:dyDescent="0.3">
      <c r="A470" s="2">
        <v>45713</v>
      </c>
      <c r="B470" t="s">
        <v>10</v>
      </c>
      <c r="C470" t="s">
        <v>9</v>
      </c>
      <c r="D470">
        <v>4810.25</v>
      </c>
      <c r="E470">
        <v>118</v>
      </c>
      <c r="F470">
        <v>11</v>
      </c>
      <c r="G470">
        <v>22813.07</v>
      </c>
      <c r="H470" s="7">
        <f t="shared" si="21"/>
        <v>9.3219999999999992</v>
      </c>
      <c r="I470">
        <f t="shared" si="22"/>
        <v>3.7425999999999999</v>
      </c>
      <c r="J470" t="str">
        <f t="shared" si="23"/>
        <v>Positive</v>
      </c>
    </row>
    <row r="471" spans="1:10" x14ac:dyDescent="0.3">
      <c r="A471" s="2">
        <v>45979</v>
      </c>
      <c r="B471" t="s">
        <v>7</v>
      </c>
      <c r="C471" t="s">
        <v>11</v>
      </c>
      <c r="D471">
        <v>10098.76</v>
      </c>
      <c r="E471">
        <v>129</v>
      </c>
      <c r="F471">
        <v>36</v>
      </c>
      <c r="G471">
        <v>112109.84</v>
      </c>
      <c r="H471" s="7">
        <f t="shared" si="21"/>
        <v>27.907</v>
      </c>
      <c r="I471">
        <f t="shared" si="22"/>
        <v>10.1013</v>
      </c>
      <c r="J471" t="str">
        <f t="shared" si="23"/>
        <v>Positive</v>
      </c>
    </row>
    <row r="472" spans="1:10" x14ac:dyDescent="0.3">
      <c r="A472" s="2">
        <v>45678</v>
      </c>
      <c r="B472" t="s">
        <v>7</v>
      </c>
      <c r="C472" t="s">
        <v>11</v>
      </c>
      <c r="D472">
        <v>10282.870000000001</v>
      </c>
      <c r="E472">
        <v>248</v>
      </c>
      <c r="F472">
        <v>21</v>
      </c>
      <c r="G472">
        <v>99529.37</v>
      </c>
      <c r="H472" s="7">
        <f t="shared" si="21"/>
        <v>8.4677000000000007</v>
      </c>
      <c r="I472">
        <f t="shared" si="22"/>
        <v>8.6791</v>
      </c>
      <c r="J472" t="str">
        <f t="shared" si="23"/>
        <v>Positive</v>
      </c>
    </row>
    <row r="473" spans="1:10" x14ac:dyDescent="0.3">
      <c r="A473" s="2">
        <v>45887</v>
      </c>
      <c r="B473" t="s">
        <v>5</v>
      </c>
      <c r="C473" t="s">
        <v>11</v>
      </c>
      <c r="D473">
        <v>8284.1299999999992</v>
      </c>
      <c r="E473">
        <v>83</v>
      </c>
      <c r="F473">
        <v>13</v>
      </c>
      <c r="G473">
        <v>76109.89</v>
      </c>
      <c r="H473" s="7">
        <f t="shared" si="21"/>
        <v>15.662699999999999</v>
      </c>
      <c r="I473">
        <f t="shared" si="22"/>
        <v>8.1874000000000002</v>
      </c>
      <c r="J473" t="str">
        <f t="shared" si="23"/>
        <v>Positive</v>
      </c>
    </row>
    <row r="474" spans="1:10" x14ac:dyDescent="0.3">
      <c r="A474" s="2">
        <v>45990</v>
      </c>
      <c r="B474" t="s">
        <v>10</v>
      </c>
      <c r="C474" t="s">
        <v>11</v>
      </c>
      <c r="D474">
        <v>8119.79</v>
      </c>
      <c r="E474">
        <v>248</v>
      </c>
      <c r="F474">
        <v>22</v>
      </c>
      <c r="G474">
        <v>119125.3</v>
      </c>
      <c r="H474" s="7">
        <f t="shared" si="21"/>
        <v>8.8710000000000004</v>
      </c>
      <c r="I474">
        <f t="shared" si="22"/>
        <v>13.670999999999999</v>
      </c>
      <c r="J474" t="str">
        <f t="shared" si="23"/>
        <v>Positive</v>
      </c>
    </row>
    <row r="475" spans="1:10" x14ac:dyDescent="0.3">
      <c r="A475" s="2">
        <v>45728</v>
      </c>
      <c r="B475" t="s">
        <v>7</v>
      </c>
      <c r="C475" t="s">
        <v>8</v>
      </c>
      <c r="D475">
        <v>3833.24</v>
      </c>
      <c r="E475">
        <v>192</v>
      </c>
      <c r="F475">
        <v>22</v>
      </c>
      <c r="G475">
        <v>54266.87</v>
      </c>
      <c r="H475" s="7">
        <f t="shared" si="21"/>
        <v>11.458299999999999</v>
      </c>
      <c r="I475">
        <f t="shared" si="22"/>
        <v>13.1569</v>
      </c>
      <c r="J475" t="str">
        <f t="shared" si="23"/>
        <v>Positive</v>
      </c>
    </row>
    <row r="476" spans="1:10" x14ac:dyDescent="0.3">
      <c r="A476" s="2">
        <v>45751</v>
      </c>
      <c r="B476" t="s">
        <v>13</v>
      </c>
      <c r="C476" t="s">
        <v>6</v>
      </c>
      <c r="D476">
        <v>7323.49</v>
      </c>
      <c r="E476">
        <v>226</v>
      </c>
      <c r="F476">
        <v>17</v>
      </c>
      <c r="G476">
        <v>82986.429999999993</v>
      </c>
      <c r="H476" s="7">
        <f t="shared" si="21"/>
        <v>7.5221</v>
      </c>
      <c r="I476">
        <f t="shared" si="22"/>
        <v>10.3315</v>
      </c>
      <c r="J476" t="str">
        <f t="shared" si="23"/>
        <v>Positive</v>
      </c>
    </row>
    <row r="477" spans="1:10" x14ac:dyDescent="0.3">
      <c r="A477" s="2">
        <v>45830</v>
      </c>
      <c r="B477" t="s">
        <v>7</v>
      </c>
      <c r="C477" t="s">
        <v>14</v>
      </c>
      <c r="D477">
        <v>9435.27</v>
      </c>
      <c r="E477">
        <v>44</v>
      </c>
      <c r="F477">
        <v>14</v>
      </c>
      <c r="G477">
        <v>69996.399999999994</v>
      </c>
      <c r="H477" s="7">
        <f t="shared" si="21"/>
        <v>31.818200000000001</v>
      </c>
      <c r="I477">
        <f t="shared" si="22"/>
        <v>6.4185999999999996</v>
      </c>
      <c r="J477" t="str">
        <f t="shared" si="23"/>
        <v>Positive</v>
      </c>
    </row>
    <row r="478" spans="1:10" x14ac:dyDescent="0.3">
      <c r="A478" s="2">
        <v>45700</v>
      </c>
      <c r="B478" t="s">
        <v>13</v>
      </c>
      <c r="C478" t="s">
        <v>9</v>
      </c>
      <c r="D478">
        <v>9087.6299999999992</v>
      </c>
      <c r="E478">
        <v>65</v>
      </c>
      <c r="F478">
        <v>8</v>
      </c>
      <c r="G478">
        <v>37279.47</v>
      </c>
      <c r="H478" s="7">
        <f t="shared" si="21"/>
        <v>12.307700000000001</v>
      </c>
      <c r="I478">
        <f t="shared" si="22"/>
        <v>3.1021999999999998</v>
      </c>
      <c r="J478" t="str">
        <f t="shared" si="23"/>
        <v>Positive</v>
      </c>
    </row>
    <row r="479" spans="1:10" x14ac:dyDescent="0.3">
      <c r="A479" s="2">
        <v>45952</v>
      </c>
      <c r="B479" t="s">
        <v>12</v>
      </c>
      <c r="C479" t="s">
        <v>6</v>
      </c>
      <c r="D479">
        <v>12872.69</v>
      </c>
      <c r="E479">
        <v>157</v>
      </c>
      <c r="F479">
        <v>61</v>
      </c>
      <c r="G479">
        <v>135587.57999999999</v>
      </c>
      <c r="H479" s="7">
        <f t="shared" si="21"/>
        <v>38.853499999999997</v>
      </c>
      <c r="I479">
        <f t="shared" si="22"/>
        <v>9.5329999999999995</v>
      </c>
      <c r="J479" t="str">
        <f t="shared" si="23"/>
        <v>Positive</v>
      </c>
    </row>
    <row r="480" spans="1:10" x14ac:dyDescent="0.3">
      <c r="A480" s="2">
        <v>45813</v>
      </c>
      <c r="B480" t="s">
        <v>7</v>
      </c>
      <c r="C480" t="s">
        <v>14</v>
      </c>
      <c r="D480">
        <v>12197.6</v>
      </c>
      <c r="E480">
        <v>55</v>
      </c>
      <c r="F480">
        <v>9</v>
      </c>
      <c r="G480">
        <v>51298.57</v>
      </c>
      <c r="H480" s="7">
        <f t="shared" si="21"/>
        <v>16.363600000000002</v>
      </c>
      <c r="I480">
        <f t="shared" si="22"/>
        <v>3.2056</v>
      </c>
      <c r="J480" t="str">
        <f t="shared" si="23"/>
        <v>Positive</v>
      </c>
    </row>
    <row r="481" spans="1:10" x14ac:dyDescent="0.3">
      <c r="A481" s="2">
        <v>45991</v>
      </c>
      <c r="B481" t="s">
        <v>10</v>
      </c>
      <c r="C481" t="s">
        <v>8</v>
      </c>
      <c r="D481">
        <v>11981.83</v>
      </c>
      <c r="E481">
        <v>26</v>
      </c>
      <c r="F481">
        <v>2</v>
      </c>
      <c r="G481">
        <v>7904.13</v>
      </c>
      <c r="H481" s="7">
        <f t="shared" si="21"/>
        <v>7.6923000000000004</v>
      </c>
      <c r="I481">
        <f t="shared" si="22"/>
        <v>-0.34029999999999999</v>
      </c>
      <c r="J481" t="str">
        <f t="shared" si="23"/>
        <v>Negative</v>
      </c>
    </row>
    <row r="482" spans="1:10" x14ac:dyDescent="0.3">
      <c r="A482" s="2">
        <v>45776</v>
      </c>
      <c r="B482" t="s">
        <v>10</v>
      </c>
      <c r="C482" t="s">
        <v>11</v>
      </c>
      <c r="D482">
        <v>11157.49</v>
      </c>
      <c r="E482">
        <v>122</v>
      </c>
      <c r="F482">
        <v>1</v>
      </c>
      <c r="G482">
        <v>4654.87</v>
      </c>
      <c r="H482" s="7">
        <f t="shared" si="21"/>
        <v>0.81969999999999998</v>
      </c>
      <c r="I482">
        <f t="shared" si="22"/>
        <v>-0.58279999999999998</v>
      </c>
      <c r="J482" t="str">
        <f t="shared" si="23"/>
        <v>Negative</v>
      </c>
    </row>
    <row r="483" spans="1:10" x14ac:dyDescent="0.3">
      <c r="A483" s="2">
        <v>45843</v>
      </c>
      <c r="B483" t="s">
        <v>12</v>
      </c>
      <c r="C483" t="s">
        <v>14</v>
      </c>
      <c r="D483">
        <v>13284.91</v>
      </c>
      <c r="E483">
        <v>59</v>
      </c>
      <c r="F483">
        <v>7</v>
      </c>
      <c r="G483">
        <v>25569.23</v>
      </c>
      <c r="H483" s="7">
        <f t="shared" si="21"/>
        <v>11.8644</v>
      </c>
      <c r="I483">
        <f t="shared" si="22"/>
        <v>0.92469999999999997</v>
      </c>
      <c r="J483" t="str">
        <f t="shared" si="23"/>
        <v>Positive</v>
      </c>
    </row>
    <row r="484" spans="1:10" x14ac:dyDescent="0.3">
      <c r="A484" s="2">
        <v>45818</v>
      </c>
      <c r="B484" t="s">
        <v>7</v>
      </c>
      <c r="C484" t="s">
        <v>8</v>
      </c>
      <c r="D484">
        <v>12634.08</v>
      </c>
      <c r="E484">
        <v>189</v>
      </c>
      <c r="F484">
        <v>46</v>
      </c>
      <c r="G484">
        <v>266790.58</v>
      </c>
      <c r="H484" s="7">
        <f t="shared" si="21"/>
        <v>24.3386</v>
      </c>
      <c r="I484">
        <f t="shared" si="22"/>
        <v>20.116700000000002</v>
      </c>
      <c r="J484" t="str">
        <f t="shared" si="23"/>
        <v>Positive</v>
      </c>
    </row>
    <row r="485" spans="1:10" x14ac:dyDescent="0.3">
      <c r="A485" s="2">
        <v>45981</v>
      </c>
      <c r="B485" t="s">
        <v>12</v>
      </c>
      <c r="C485" t="s">
        <v>8</v>
      </c>
      <c r="D485">
        <v>3260.45</v>
      </c>
      <c r="E485">
        <v>213</v>
      </c>
      <c r="F485">
        <v>55</v>
      </c>
      <c r="G485">
        <v>214642.94</v>
      </c>
      <c r="H485" s="7">
        <f t="shared" si="21"/>
        <v>25.8216</v>
      </c>
      <c r="I485">
        <f t="shared" si="22"/>
        <v>64.832300000000004</v>
      </c>
      <c r="J485" t="str">
        <f t="shared" si="23"/>
        <v>Positive</v>
      </c>
    </row>
    <row r="486" spans="1:10" x14ac:dyDescent="0.3">
      <c r="A486" s="2">
        <v>45731</v>
      </c>
      <c r="B486" t="s">
        <v>10</v>
      </c>
      <c r="C486" t="s">
        <v>6</v>
      </c>
      <c r="D486">
        <v>10680.69</v>
      </c>
      <c r="E486">
        <v>235</v>
      </c>
      <c r="F486">
        <v>82</v>
      </c>
      <c r="G486">
        <v>204855.15</v>
      </c>
      <c r="H486" s="7">
        <f t="shared" si="21"/>
        <v>34.893599999999999</v>
      </c>
      <c r="I486">
        <f t="shared" si="22"/>
        <v>18.18</v>
      </c>
      <c r="J486" t="str">
        <f t="shared" si="23"/>
        <v>Positive</v>
      </c>
    </row>
    <row r="487" spans="1:10" x14ac:dyDescent="0.3">
      <c r="A487" s="2">
        <v>45799</v>
      </c>
      <c r="B487" t="s">
        <v>13</v>
      </c>
      <c r="C487" t="s">
        <v>9</v>
      </c>
      <c r="D487">
        <v>14302.52</v>
      </c>
      <c r="E487">
        <v>98</v>
      </c>
      <c r="F487">
        <v>15</v>
      </c>
      <c r="G487">
        <v>28807.58</v>
      </c>
      <c r="H487" s="7">
        <f t="shared" si="21"/>
        <v>15.306100000000001</v>
      </c>
      <c r="I487">
        <f t="shared" si="22"/>
        <v>1.0142</v>
      </c>
      <c r="J487" t="str">
        <f t="shared" si="23"/>
        <v>Positive</v>
      </c>
    </row>
    <row r="488" spans="1:10" x14ac:dyDescent="0.3">
      <c r="A488" s="2">
        <v>46002</v>
      </c>
      <c r="B488" t="s">
        <v>12</v>
      </c>
      <c r="C488" t="s">
        <v>6</v>
      </c>
      <c r="D488">
        <v>14108.41</v>
      </c>
      <c r="E488">
        <v>199</v>
      </c>
      <c r="F488">
        <v>72</v>
      </c>
      <c r="G488">
        <v>384935.57</v>
      </c>
      <c r="H488" s="7">
        <f t="shared" si="21"/>
        <v>36.180900000000001</v>
      </c>
      <c r="I488">
        <f t="shared" si="22"/>
        <v>26.284099999999999</v>
      </c>
      <c r="J488" t="str">
        <f t="shared" si="23"/>
        <v>Positive</v>
      </c>
    </row>
    <row r="489" spans="1:10" x14ac:dyDescent="0.3">
      <c r="A489" s="2">
        <v>45784</v>
      </c>
      <c r="B489" t="s">
        <v>13</v>
      </c>
      <c r="C489" t="s">
        <v>11</v>
      </c>
      <c r="D489">
        <v>2545.6</v>
      </c>
      <c r="E489">
        <v>27</v>
      </c>
      <c r="F489">
        <v>3</v>
      </c>
      <c r="G489">
        <v>13798.72</v>
      </c>
      <c r="H489" s="7">
        <f t="shared" si="21"/>
        <v>11.1111</v>
      </c>
      <c r="I489">
        <f t="shared" si="22"/>
        <v>4.4206000000000003</v>
      </c>
      <c r="J489" t="str">
        <f t="shared" si="23"/>
        <v>Positive</v>
      </c>
    </row>
    <row r="490" spans="1:10" x14ac:dyDescent="0.3">
      <c r="A490" s="2">
        <v>45965</v>
      </c>
      <c r="B490" t="s">
        <v>5</v>
      </c>
      <c r="C490" t="s">
        <v>14</v>
      </c>
      <c r="D490">
        <v>12264.44</v>
      </c>
      <c r="E490">
        <v>207</v>
      </c>
      <c r="F490">
        <v>34</v>
      </c>
      <c r="G490">
        <v>200444.84</v>
      </c>
      <c r="H490" s="7">
        <f t="shared" si="21"/>
        <v>16.4251</v>
      </c>
      <c r="I490">
        <f t="shared" si="22"/>
        <v>15.3436</v>
      </c>
      <c r="J490" t="str">
        <f t="shared" si="23"/>
        <v>Positive</v>
      </c>
    </row>
    <row r="491" spans="1:10" x14ac:dyDescent="0.3">
      <c r="A491" s="2">
        <v>45889</v>
      </c>
      <c r="B491" t="s">
        <v>10</v>
      </c>
      <c r="C491" t="s">
        <v>6</v>
      </c>
      <c r="D491">
        <v>10179.959999999999</v>
      </c>
      <c r="E491">
        <v>172</v>
      </c>
      <c r="F491">
        <v>59</v>
      </c>
      <c r="G491">
        <v>112889.33</v>
      </c>
      <c r="H491" s="7">
        <f t="shared" si="21"/>
        <v>34.302300000000002</v>
      </c>
      <c r="I491">
        <f t="shared" si="22"/>
        <v>10.089399999999999</v>
      </c>
      <c r="J491" t="str">
        <f t="shared" si="23"/>
        <v>Positive</v>
      </c>
    </row>
    <row r="492" spans="1:10" x14ac:dyDescent="0.3">
      <c r="A492" s="2">
        <v>45721</v>
      </c>
      <c r="B492" t="s">
        <v>12</v>
      </c>
      <c r="C492" t="s">
        <v>6</v>
      </c>
      <c r="D492">
        <v>12651.15</v>
      </c>
      <c r="E492">
        <v>119</v>
      </c>
      <c r="F492">
        <v>19</v>
      </c>
      <c r="G492">
        <v>43042.89</v>
      </c>
      <c r="H492" s="7">
        <f t="shared" si="21"/>
        <v>15.9664</v>
      </c>
      <c r="I492">
        <f t="shared" si="22"/>
        <v>2.4022999999999999</v>
      </c>
      <c r="J492" t="str">
        <f t="shared" si="23"/>
        <v>Positive</v>
      </c>
    </row>
    <row r="493" spans="1:10" x14ac:dyDescent="0.3">
      <c r="A493" s="2">
        <v>45749</v>
      </c>
      <c r="B493" t="s">
        <v>7</v>
      </c>
      <c r="C493" t="s">
        <v>11</v>
      </c>
      <c r="D493">
        <v>12138.43</v>
      </c>
      <c r="E493">
        <v>164</v>
      </c>
      <c r="F493">
        <v>39</v>
      </c>
      <c r="G493">
        <v>173695.29</v>
      </c>
      <c r="H493" s="7">
        <f t="shared" si="21"/>
        <v>23.7805</v>
      </c>
      <c r="I493">
        <f t="shared" si="22"/>
        <v>13.3095</v>
      </c>
      <c r="J493" t="str">
        <f t="shared" si="23"/>
        <v>Positive</v>
      </c>
    </row>
    <row r="494" spans="1:10" x14ac:dyDescent="0.3">
      <c r="A494" s="2">
        <v>45992</v>
      </c>
      <c r="B494" t="s">
        <v>10</v>
      </c>
      <c r="C494" t="s">
        <v>11</v>
      </c>
      <c r="D494">
        <v>2576.2800000000002</v>
      </c>
      <c r="E494">
        <v>48</v>
      </c>
      <c r="F494">
        <v>18</v>
      </c>
      <c r="G494">
        <v>28281.68</v>
      </c>
      <c r="H494" s="7">
        <f t="shared" si="21"/>
        <v>37.5</v>
      </c>
      <c r="I494">
        <f t="shared" si="22"/>
        <v>9.9777000000000005</v>
      </c>
      <c r="J494" t="str">
        <f t="shared" si="23"/>
        <v>Positive</v>
      </c>
    </row>
    <row r="495" spans="1:10" x14ac:dyDescent="0.3">
      <c r="A495" s="2">
        <v>45993</v>
      </c>
      <c r="B495" t="s">
        <v>12</v>
      </c>
      <c r="C495" t="s">
        <v>11</v>
      </c>
      <c r="D495">
        <v>3346.01</v>
      </c>
      <c r="E495">
        <v>57</v>
      </c>
      <c r="F495">
        <v>14</v>
      </c>
      <c r="G495">
        <v>16810.580000000002</v>
      </c>
      <c r="H495" s="7">
        <f t="shared" si="21"/>
        <v>24.561399999999999</v>
      </c>
      <c r="I495">
        <f t="shared" si="22"/>
        <v>4.0240999999999998</v>
      </c>
      <c r="J495" t="str">
        <f t="shared" si="23"/>
        <v>Positive</v>
      </c>
    </row>
    <row r="496" spans="1:10" x14ac:dyDescent="0.3">
      <c r="A496" s="2">
        <v>45669</v>
      </c>
      <c r="B496" t="s">
        <v>5</v>
      </c>
      <c r="C496" t="s">
        <v>9</v>
      </c>
      <c r="D496">
        <v>5131.03</v>
      </c>
      <c r="E496">
        <v>56</v>
      </c>
      <c r="F496">
        <v>20</v>
      </c>
      <c r="G496">
        <v>52587.13</v>
      </c>
      <c r="H496" s="7">
        <f t="shared" si="21"/>
        <v>35.714300000000001</v>
      </c>
      <c r="I496">
        <f t="shared" si="22"/>
        <v>9.2487999999999992</v>
      </c>
      <c r="J496" t="str">
        <f t="shared" si="23"/>
        <v>Positive</v>
      </c>
    </row>
    <row r="497" spans="1:10" x14ac:dyDescent="0.3">
      <c r="A497" s="2">
        <v>45748</v>
      </c>
      <c r="B497" t="s">
        <v>12</v>
      </c>
      <c r="C497" t="s">
        <v>14</v>
      </c>
      <c r="D497">
        <v>1803.6</v>
      </c>
      <c r="E497">
        <v>23</v>
      </c>
      <c r="F497">
        <v>9</v>
      </c>
      <c r="G497">
        <v>28821.81</v>
      </c>
      <c r="H497" s="7">
        <f t="shared" si="21"/>
        <v>39.130400000000002</v>
      </c>
      <c r="I497">
        <f t="shared" si="22"/>
        <v>14.9802</v>
      </c>
      <c r="J497" t="str">
        <f t="shared" si="23"/>
        <v>Positive</v>
      </c>
    </row>
    <row r="498" spans="1:10" x14ac:dyDescent="0.3">
      <c r="A498" s="2">
        <v>45996</v>
      </c>
      <c r="B498" t="s">
        <v>10</v>
      </c>
      <c r="C498" t="s">
        <v>14</v>
      </c>
      <c r="D498">
        <v>2591.54</v>
      </c>
      <c r="E498">
        <v>165</v>
      </c>
      <c r="F498">
        <v>48</v>
      </c>
      <c r="G498">
        <v>181924.78</v>
      </c>
      <c r="H498" s="7">
        <f t="shared" si="21"/>
        <v>29.090900000000001</v>
      </c>
      <c r="I498">
        <f t="shared" si="22"/>
        <v>69.1995</v>
      </c>
      <c r="J498" t="str">
        <f t="shared" si="23"/>
        <v>Positive</v>
      </c>
    </row>
    <row r="499" spans="1:10" x14ac:dyDescent="0.3">
      <c r="A499" s="2">
        <v>45870</v>
      </c>
      <c r="B499" t="s">
        <v>10</v>
      </c>
      <c r="C499" t="s">
        <v>8</v>
      </c>
      <c r="D499">
        <v>14323.11</v>
      </c>
      <c r="E499">
        <v>128</v>
      </c>
      <c r="F499">
        <v>36</v>
      </c>
      <c r="G499">
        <v>107125.88</v>
      </c>
      <c r="H499" s="7">
        <f t="shared" si="21"/>
        <v>28.125</v>
      </c>
      <c r="I499">
        <f t="shared" si="22"/>
        <v>6.4791999999999996</v>
      </c>
      <c r="J499" t="str">
        <f t="shared" si="23"/>
        <v>Positive</v>
      </c>
    </row>
    <row r="500" spans="1:10" x14ac:dyDescent="0.3">
      <c r="A500" s="2">
        <v>45894</v>
      </c>
      <c r="B500" t="s">
        <v>5</v>
      </c>
      <c r="C500" t="s">
        <v>6</v>
      </c>
      <c r="D500">
        <v>1686.08</v>
      </c>
      <c r="E500">
        <v>154</v>
      </c>
      <c r="F500">
        <v>41</v>
      </c>
      <c r="G500">
        <v>148854.06</v>
      </c>
      <c r="H500" s="7">
        <f t="shared" si="21"/>
        <v>26.6234</v>
      </c>
      <c r="I500">
        <f t="shared" si="22"/>
        <v>87.284099999999995</v>
      </c>
      <c r="J500" t="str">
        <f t="shared" si="23"/>
        <v>Positive</v>
      </c>
    </row>
    <row r="501" spans="1:10" x14ac:dyDescent="0.3">
      <c r="A501" s="2">
        <v>45875</v>
      </c>
      <c r="B501" t="s">
        <v>13</v>
      </c>
      <c r="C501" t="s">
        <v>9</v>
      </c>
      <c r="D501">
        <v>8214.6</v>
      </c>
      <c r="E501">
        <v>161</v>
      </c>
      <c r="F501">
        <v>11</v>
      </c>
      <c r="G501">
        <v>40628.25</v>
      </c>
      <c r="H501" s="7">
        <f t="shared" si="21"/>
        <v>6.8323</v>
      </c>
      <c r="I501">
        <f t="shared" si="22"/>
        <v>3.9459</v>
      </c>
      <c r="J501" t="str">
        <f t="shared" si="23"/>
        <v>Positive</v>
      </c>
    </row>
    <row r="502" spans="1:10" x14ac:dyDescent="0.3">
      <c r="A502" s="2">
        <v>45833</v>
      </c>
      <c r="B502" t="s">
        <v>7</v>
      </c>
      <c r="C502" t="s">
        <v>8</v>
      </c>
      <c r="D502">
        <v>12015.54</v>
      </c>
      <c r="E502">
        <v>149</v>
      </c>
      <c r="F502">
        <v>24</v>
      </c>
      <c r="G502">
        <v>113864.79</v>
      </c>
      <c r="H502" s="7">
        <f t="shared" si="21"/>
        <v>16.107399999999998</v>
      </c>
      <c r="I502">
        <f t="shared" si="22"/>
        <v>8.4764999999999997</v>
      </c>
      <c r="J502" t="str">
        <f t="shared" si="23"/>
        <v>Positive</v>
      </c>
    </row>
    <row r="503" spans="1:10" x14ac:dyDescent="0.3">
      <c r="A503" s="2">
        <v>45941</v>
      </c>
      <c r="B503" t="s">
        <v>7</v>
      </c>
      <c r="C503" t="s">
        <v>9</v>
      </c>
      <c r="D503">
        <v>12064.68</v>
      </c>
      <c r="E503">
        <v>38</v>
      </c>
      <c r="F503">
        <v>6</v>
      </c>
      <c r="G503">
        <v>11098.84</v>
      </c>
      <c r="H503" s="7">
        <f t="shared" si="21"/>
        <v>15.7895</v>
      </c>
      <c r="I503">
        <f t="shared" si="22"/>
        <v>-8.0100000000000005E-2</v>
      </c>
      <c r="J503" t="str">
        <f t="shared" si="23"/>
        <v>Negative</v>
      </c>
    </row>
    <row r="504" spans="1:10" x14ac:dyDescent="0.3">
      <c r="A504" s="2">
        <v>45695</v>
      </c>
      <c r="B504" t="s">
        <v>12</v>
      </c>
      <c r="C504" t="s">
        <v>8</v>
      </c>
      <c r="D504">
        <v>6733.7</v>
      </c>
      <c r="E504">
        <v>249</v>
      </c>
      <c r="F504">
        <v>26</v>
      </c>
      <c r="G504">
        <v>128354.06</v>
      </c>
      <c r="H504" s="7">
        <f t="shared" si="21"/>
        <v>10.441800000000001</v>
      </c>
      <c r="I504">
        <f t="shared" si="22"/>
        <v>18.061399999999999</v>
      </c>
      <c r="J504" t="str">
        <f t="shared" si="23"/>
        <v>Positive</v>
      </c>
    </row>
    <row r="505" spans="1:10" x14ac:dyDescent="0.3">
      <c r="A505" s="2">
        <v>45959</v>
      </c>
      <c r="B505" t="s">
        <v>13</v>
      </c>
      <c r="C505" t="s">
        <v>9</v>
      </c>
      <c r="D505">
        <v>2126.6799999999998</v>
      </c>
      <c r="E505">
        <v>152</v>
      </c>
      <c r="F505">
        <v>31</v>
      </c>
      <c r="G505">
        <v>43636.05</v>
      </c>
      <c r="H505" s="7">
        <f t="shared" si="21"/>
        <v>20.3947</v>
      </c>
      <c r="I505">
        <f t="shared" si="22"/>
        <v>19.5184</v>
      </c>
      <c r="J505" t="str">
        <f t="shared" si="23"/>
        <v>Positive</v>
      </c>
    </row>
    <row r="506" spans="1:10" x14ac:dyDescent="0.3">
      <c r="A506" s="2">
        <v>45935</v>
      </c>
      <c r="B506" t="s">
        <v>10</v>
      </c>
      <c r="C506" t="s">
        <v>8</v>
      </c>
      <c r="D506">
        <v>8976.76</v>
      </c>
      <c r="E506">
        <v>126</v>
      </c>
      <c r="F506">
        <v>43</v>
      </c>
      <c r="G506">
        <v>253452.12</v>
      </c>
      <c r="H506" s="7">
        <f t="shared" si="21"/>
        <v>34.127000000000002</v>
      </c>
      <c r="I506">
        <f t="shared" si="22"/>
        <v>27.234300000000001</v>
      </c>
      <c r="J506" t="str">
        <f t="shared" si="23"/>
        <v>Positive</v>
      </c>
    </row>
    <row r="507" spans="1:10" x14ac:dyDescent="0.3">
      <c r="A507" s="2">
        <v>45837</v>
      </c>
      <c r="B507" t="s">
        <v>7</v>
      </c>
      <c r="C507" t="s">
        <v>11</v>
      </c>
      <c r="D507">
        <v>8241.7099999999991</v>
      </c>
      <c r="E507">
        <v>88</v>
      </c>
      <c r="F507">
        <v>15</v>
      </c>
      <c r="G507">
        <v>38397.040000000001</v>
      </c>
      <c r="H507" s="7">
        <f t="shared" si="21"/>
        <v>17.045500000000001</v>
      </c>
      <c r="I507">
        <f t="shared" si="22"/>
        <v>3.6589</v>
      </c>
      <c r="J507" t="str">
        <f t="shared" si="23"/>
        <v>Positive</v>
      </c>
    </row>
    <row r="508" spans="1:10" x14ac:dyDescent="0.3">
      <c r="A508" s="2">
        <v>45858</v>
      </c>
      <c r="B508" t="s">
        <v>10</v>
      </c>
      <c r="C508" t="s">
        <v>11</v>
      </c>
      <c r="D508">
        <v>2008.1</v>
      </c>
      <c r="E508">
        <v>60</v>
      </c>
      <c r="F508">
        <v>7</v>
      </c>
      <c r="G508">
        <v>25703.9</v>
      </c>
      <c r="H508" s="7">
        <f t="shared" si="21"/>
        <v>11.666700000000001</v>
      </c>
      <c r="I508">
        <f t="shared" si="22"/>
        <v>11.8001</v>
      </c>
      <c r="J508" t="str">
        <f t="shared" si="23"/>
        <v>Positive</v>
      </c>
    </row>
    <row r="509" spans="1:10" x14ac:dyDescent="0.3">
      <c r="A509" s="2">
        <v>45916</v>
      </c>
      <c r="B509" t="s">
        <v>13</v>
      </c>
      <c r="C509" t="s">
        <v>8</v>
      </c>
      <c r="D509">
        <v>1824.66</v>
      </c>
      <c r="E509">
        <v>228</v>
      </c>
      <c r="F509">
        <v>7</v>
      </c>
      <c r="G509">
        <v>22495.19</v>
      </c>
      <c r="H509" s="7">
        <f t="shared" si="21"/>
        <v>3.0701999999999998</v>
      </c>
      <c r="I509">
        <f t="shared" si="22"/>
        <v>11.3284</v>
      </c>
      <c r="J509" t="str">
        <f t="shared" si="23"/>
        <v>Positive</v>
      </c>
    </row>
    <row r="510" spans="1:10" x14ac:dyDescent="0.3">
      <c r="A510" s="2">
        <v>45717</v>
      </c>
      <c r="B510" t="s">
        <v>12</v>
      </c>
      <c r="C510" t="s">
        <v>11</v>
      </c>
      <c r="D510">
        <v>13768.72</v>
      </c>
      <c r="E510">
        <v>63</v>
      </c>
      <c r="F510">
        <v>24</v>
      </c>
      <c r="G510">
        <v>123271.16</v>
      </c>
      <c r="H510" s="7">
        <f t="shared" si="21"/>
        <v>38.095199999999998</v>
      </c>
      <c r="I510">
        <f t="shared" si="22"/>
        <v>7.9530000000000003</v>
      </c>
      <c r="J510" t="str">
        <f t="shared" si="23"/>
        <v>Positive</v>
      </c>
    </row>
    <row r="511" spans="1:10" x14ac:dyDescent="0.3">
      <c r="A511" s="2">
        <v>45897</v>
      </c>
      <c r="B511" t="s">
        <v>5</v>
      </c>
      <c r="C511" t="s">
        <v>8</v>
      </c>
      <c r="D511">
        <v>11493.31</v>
      </c>
      <c r="E511">
        <v>155</v>
      </c>
      <c r="F511">
        <v>13</v>
      </c>
      <c r="G511">
        <v>70631.41</v>
      </c>
      <c r="H511" s="7">
        <f t="shared" si="21"/>
        <v>8.3871000000000002</v>
      </c>
      <c r="I511">
        <f t="shared" si="22"/>
        <v>5.1454000000000004</v>
      </c>
      <c r="J511" t="str">
        <f t="shared" si="23"/>
        <v>Positive</v>
      </c>
    </row>
    <row r="512" spans="1:10" x14ac:dyDescent="0.3">
      <c r="A512" s="2">
        <v>45886</v>
      </c>
      <c r="B512" t="s">
        <v>5</v>
      </c>
      <c r="C512" t="s">
        <v>6</v>
      </c>
      <c r="D512">
        <v>14506.36</v>
      </c>
      <c r="E512">
        <v>59</v>
      </c>
      <c r="F512">
        <v>14</v>
      </c>
      <c r="G512">
        <v>59497.82</v>
      </c>
      <c r="H512" s="7">
        <f t="shared" si="21"/>
        <v>23.7288</v>
      </c>
      <c r="I512">
        <f t="shared" si="22"/>
        <v>3.1015000000000001</v>
      </c>
      <c r="J512" t="str">
        <f t="shared" si="23"/>
        <v>Positive</v>
      </c>
    </row>
    <row r="513" spans="1:10" x14ac:dyDescent="0.3">
      <c r="A513" s="2">
        <v>45675</v>
      </c>
      <c r="B513" t="s">
        <v>13</v>
      </c>
      <c r="C513" t="s">
        <v>11</v>
      </c>
      <c r="D513">
        <v>11432.39</v>
      </c>
      <c r="E513">
        <v>170</v>
      </c>
      <c r="F513">
        <v>17</v>
      </c>
      <c r="G513">
        <v>54821.29</v>
      </c>
      <c r="H513" s="7">
        <f t="shared" si="21"/>
        <v>10</v>
      </c>
      <c r="I513">
        <f t="shared" si="22"/>
        <v>3.7953000000000001</v>
      </c>
      <c r="J513" t="str">
        <f t="shared" si="23"/>
        <v>Positive</v>
      </c>
    </row>
    <row r="514" spans="1:10" x14ac:dyDescent="0.3">
      <c r="A514" s="2">
        <v>45741</v>
      </c>
      <c r="B514" t="s">
        <v>5</v>
      </c>
      <c r="C514" t="s">
        <v>11</v>
      </c>
      <c r="D514">
        <v>3844.43</v>
      </c>
      <c r="E514">
        <v>124</v>
      </c>
      <c r="F514">
        <v>21</v>
      </c>
      <c r="G514">
        <v>94701.36</v>
      </c>
      <c r="H514" s="7">
        <f t="shared" ref="H514:H577" si="24">ROUND((F514/E514)*100,4)</f>
        <v>16.935500000000001</v>
      </c>
      <c r="I514">
        <f t="shared" ref="I514:I577" si="25">ROUND(((G514-D514)/D514),4)</f>
        <v>23.633400000000002</v>
      </c>
      <c r="J514" t="str">
        <f t="shared" si="23"/>
        <v>Positive</v>
      </c>
    </row>
    <row r="515" spans="1:10" x14ac:dyDescent="0.3">
      <c r="A515" s="2">
        <v>45802</v>
      </c>
      <c r="B515" t="s">
        <v>12</v>
      </c>
      <c r="C515" t="s">
        <v>11</v>
      </c>
      <c r="D515">
        <v>13279.85</v>
      </c>
      <c r="E515">
        <v>227</v>
      </c>
      <c r="F515">
        <v>64</v>
      </c>
      <c r="G515">
        <v>343119.6</v>
      </c>
      <c r="H515" s="7">
        <f t="shared" si="24"/>
        <v>28.1938</v>
      </c>
      <c r="I515">
        <f t="shared" si="25"/>
        <v>24.837599999999998</v>
      </c>
      <c r="J515" t="str">
        <f t="shared" ref="J515:J578" si="26">IF(I515&gt;0,"Positive","Negative")</f>
        <v>Positive</v>
      </c>
    </row>
    <row r="516" spans="1:10" x14ac:dyDescent="0.3">
      <c r="A516" s="2">
        <v>45935</v>
      </c>
      <c r="B516" t="s">
        <v>7</v>
      </c>
      <c r="C516" t="s">
        <v>14</v>
      </c>
      <c r="D516">
        <v>5893.59</v>
      </c>
      <c r="E516">
        <v>39</v>
      </c>
      <c r="F516">
        <v>4</v>
      </c>
      <c r="G516">
        <v>8600.77</v>
      </c>
      <c r="H516" s="7">
        <f t="shared" si="24"/>
        <v>10.256399999999999</v>
      </c>
      <c r="I516">
        <f t="shared" si="25"/>
        <v>0.45929999999999999</v>
      </c>
      <c r="J516" t="str">
        <f t="shared" si="26"/>
        <v>Positive</v>
      </c>
    </row>
    <row r="517" spans="1:10" x14ac:dyDescent="0.3">
      <c r="A517" s="2">
        <v>45659</v>
      </c>
      <c r="B517" t="s">
        <v>5</v>
      </c>
      <c r="C517" t="s">
        <v>6</v>
      </c>
      <c r="D517">
        <v>14476.52</v>
      </c>
      <c r="E517">
        <v>222</v>
      </c>
      <c r="F517">
        <v>15</v>
      </c>
      <c r="G517">
        <v>83096.19</v>
      </c>
      <c r="H517" s="7">
        <f t="shared" si="24"/>
        <v>6.7568000000000001</v>
      </c>
      <c r="I517">
        <f t="shared" si="25"/>
        <v>4.7401</v>
      </c>
      <c r="J517" t="str">
        <f t="shared" si="26"/>
        <v>Positive</v>
      </c>
    </row>
    <row r="518" spans="1:10" x14ac:dyDescent="0.3">
      <c r="A518" s="2">
        <v>45662</v>
      </c>
      <c r="B518" t="s">
        <v>13</v>
      </c>
      <c r="C518" t="s">
        <v>9</v>
      </c>
      <c r="D518">
        <v>5761.79</v>
      </c>
      <c r="E518">
        <v>209</v>
      </c>
      <c r="F518">
        <v>79</v>
      </c>
      <c r="G518">
        <v>166267.79</v>
      </c>
      <c r="H518" s="7">
        <f t="shared" si="24"/>
        <v>37.798999999999999</v>
      </c>
      <c r="I518">
        <f t="shared" si="25"/>
        <v>27.856999999999999</v>
      </c>
      <c r="J518" t="str">
        <f t="shared" si="26"/>
        <v>Positive</v>
      </c>
    </row>
    <row r="519" spans="1:10" x14ac:dyDescent="0.3">
      <c r="A519" s="2">
        <v>45993</v>
      </c>
      <c r="B519" t="s">
        <v>7</v>
      </c>
      <c r="C519" t="s">
        <v>14</v>
      </c>
      <c r="D519">
        <v>12370.09</v>
      </c>
      <c r="E519">
        <v>69</v>
      </c>
      <c r="F519">
        <v>18</v>
      </c>
      <c r="G519">
        <v>36271.800000000003</v>
      </c>
      <c r="H519" s="7">
        <f t="shared" si="24"/>
        <v>26.087</v>
      </c>
      <c r="I519">
        <f t="shared" si="25"/>
        <v>1.9321999999999999</v>
      </c>
      <c r="J519" t="str">
        <f t="shared" si="26"/>
        <v>Positive</v>
      </c>
    </row>
    <row r="520" spans="1:10" x14ac:dyDescent="0.3">
      <c r="A520" s="2">
        <v>45738</v>
      </c>
      <c r="B520" t="s">
        <v>10</v>
      </c>
      <c r="C520" t="s">
        <v>9</v>
      </c>
      <c r="D520">
        <v>5357.89</v>
      </c>
      <c r="E520">
        <v>29</v>
      </c>
      <c r="F520">
        <v>5</v>
      </c>
      <c r="G520">
        <v>6562.99</v>
      </c>
      <c r="H520" s="7">
        <f t="shared" si="24"/>
        <v>17.241399999999999</v>
      </c>
      <c r="I520">
        <f t="shared" si="25"/>
        <v>0.22489999999999999</v>
      </c>
      <c r="J520" t="str">
        <f t="shared" si="26"/>
        <v>Positive</v>
      </c>
    </row>
    <row r="521" spans="1:10" x14ac:dyDescent="0.3">
      <c r="A521" s="2">
        <v>45932</v>
      </c>
      <c r="B521" t="s">
        <v>13</v>
      </c>
      <c r="C521" t="s">
        <v>8</v>
      </c>
      <c r="D521">
        <v>4029.8</v>
      </c>
      <c r="E521">
        <v>86</v>
      </c>
      <c r="F521">
        <v>24</v>
      </c>
      <c r="G521">
        <v>40881.06</v>
      </c>
      <c r="H521" s="7">
        <f t="shared" si="24"/>
        <v>27.907</v>
      </c>
      <c r="I521">
        <f t="shared" si="25"/>
        <v>9.1447000000000003</v>
      </c>
      <c r="J521" t="str">
        <f t="shared" si="26"/>
        <v>Positive</v>
      </c>
    </row>
    <row r="522" spans="1:10" x14ac:dyDescent="0.3">
      <c r="A522" s="2">
        <v>46015</v>
      </c>
      <c r="B522" t="s">
        <v>5</v>
      </c>
      <c r="C522" t="s">
        <v>6</v>
      </c>
      <c r="D522">
        <v>6494.09</v>
      </c>
      <c r="E522">
        <v>144</v>
      </c>
      <c r="F522">
        <v>18</v>
      </c>
      <c r="G522">
        <v>67412.47</v>
      </c>
      <c r="H522" s="7">
        <f t="shared" si="24"/>
        <v>12.5</v>
      </c>
      <c r="I522">
        <f t="shared" si="25"/>
        <v>9.3805999999999994</v>
      </c>
      <c r="J522" t="str">
        <f t="shared" si="26"/>
        <v>Positive</v>
      </c>
    </row>
    <row r="523" spans="1:10" x14ac:dyDescent="0.3">
      <c r="A523" s="2">
        <v>45959</v>
      </c>
      <c r="B523" t="s">
        <v>7</v>
      </c>
      <c r="C523" t="s">
        <v>14</v>
      </c>
      <c r="D523">
        <v>10560.04</v>
      </c>
      <c r="E523">
        <v>88</v>
      </c>
      <c r="F523">
        <v>18</v>
      </c>
      <c r="G523">
        <v>94686.080000000002</v>
      </c>
      <c r="H523" s="7">
        <f t="shared" si="24"/>
        <v>20.454499999999999</v>
      </c>
      <c r="I523">
        <f t="shared" si="25"/>
        <v>7.9664999999999999</v>
      </c>
      <c r="J523" t="str">
        <f t="shared" si="26"/>
        <v>Positive</v>
      </c>
    </row>
    <row r="524" spans="1:10" x14ac:dyDescent="0.3">
      <c r="A524" s="2">
        <v>45769</v>
      </c>
      <c r="B524" t="s">
        <v>13</v>
      </c>
      <c r="C524" t="s">
        <v>8</v>
      </c>
      <c r="D524">
        <v>11156</v>
      </c>
      <c r="E524">
        <v>64</v>
      </c>
      <c r="F524">
        <v>12</v>
      </c>
      <c r="G524">
        <v>21439.05</v>
      </c>
      <c r="H524" s="7">
        <f t="shared" si="24"/>
        <v>18.75</v>
      </c>
      <c r="I524">
        <f t="shared" si="25"/>
        <v>0.92179999999999995</v>
      </c>
      <c r="J524" t="str">
        <f t="shared" si="26"/>
        <v>Positive</v>
      </c>
    </row>
    <row r="525" spans="1:10" x14ac:dyDescent="0.3">
      <c r="A525" s="2">
        <v>45667</v>
      </c>
      <c r="B525" t="s">
        <v>10</v>
      </c>
      <c r="C525" t="s">
        <v>6</v>
      </c>
      <c r="D525">
        <v>14061.28</v>
      </c>
      <c r="E525">
        <v>245</v>
      </c>
      <c r="F525">
        <v>79</v>
      </c>
      <c r="G525">
        <v>162780.70000000001</v>
      </c>
      <c r="H525" s="7">
        <f t="shared" si="24"/>
        <v>32.244900000000001</v>
      </c>
      <c r="I525">
        <f t="shared" si="25"/>
        <v>10.576499999999999</v>
      </c>
      <c r="J525" t="str">
        <f t="shared" si="26"/>
        <v>Positive</v>
      </c>
    </row>
    <row r="526" spans="1:10" x14ac:dyDescent="0.3">
      <c r="A526" s="2">
        <v>45723</v>
      </c>
      <c r="B526" t="s">
        <v>5</v>
      </c>
      <c r="C526" t="s">
        <v>14</v>
      </c>
      <c r="D526">
        <v>13925.32</v>
      </c>
      <c r="E526">
        <v>57</v>
      </c>
      <c r="F526">
        <v>18</v>
      </c>
      <c r="G526">
        <v>25143.63</v>
      </c>
      <c r="H526" s="7">
        <f t="shared" si="24"/>
        <v>31.578900000000001</v>
      </c>
      <c r="I526">
        <f t="shared" si="25"/>
        <v>0.80559999999999998</v>
      </c>
      <c r="J526" t="str">
        <f t="shared" si="26"/>
        <v>Positive</v>
      </c>
    </row>
    <row r="527" spans="1:10" x14ac:dyDescent="0.3">
      <c r="A527" s="2">
        <v>45714</v>
      </c>
      <c r="B527" t="s">
        <v>7</v>
      </c>
      <c r="C527" t="s">
        <v>6</v>
      </c>
      <c r="D527">
        <v>6526.7</v>
      </c>
      <c r="E527">
        <v>187</v>
      </c>
      <c r="F527">
        <v>35</v>
      </c>
      <c r="G527">
        <v>93840.85</v>
      </c>
      <c r="H527" s="7">
        <f t="shared" si="24"/>
        <v>18.7166</v>
      </c>
      <c r="I527">
        <f t="shared" si="25"/>
        <v>13.378</v>
      </c>
      <c r="J527" t="str">
        <f t="shared" si="26"/>
        <v>Positive</v>
      </c>
    </row>
    <row r="528" spans="1:10" x14ac:dyDescent="0.3">
      <c r="A528" s="2">
        <v>45913</v>
      </c>
      <c r="B528" t="s">
        <v>10</v>
      </c>
      <c r="C528" t="s">
        <v>11</v>
      </c>
      <c r="D528">
        <v>11686.86</v>
      </c>
      <c r="E528">
        <v>193</v>
      </c>
      <c r="F528">
        <v>48</v>
      </c>
      <c r="G528">
        <v>123950.21</v>
      </c>
      <c r="H528" s="7">
        <f t="shared" si="24"/>
        <v>24.8705</v>
      </c>
      <c r="I528">
        <f t="shared" si="25"/>
        <v>9.6059000000000001</v>
      </c>
      <c r="J528" t="str">
        <f t="shared" si="26"/>
        <v>Positive</v>
      </c>
    </row>
    <row r="529" spans="1:10" x14ac:dyDescent="0.3">
      <c r="A529" s="2">
        <v>45829</v>
      </c>
      <c r="B529" t="s">
        <v>5</v>
      </c>
      <c r="C529" t="s">
        <v>6</v>
      </c>
      <c r="D529">
        <v>11486.76</v>
      </c>
      <c r="E529">
        <v>38</v>
      </c>
      <c r="F529">
        <v>15</v>
      </c>
      <c r="G529">
        <v>55999.51</v>
      </c>
      <c r="H529" s="7">
        <f t="shared" si="24"/>
        <v>39.473700000000001</v>
      </c>
      <c r="I529">
        <f t="shared" si="25"/>
        <v>3.8751000000000002</v>
      </c>
      <c r="J529" t="str">
        <f t="shared" si="26"/>
        <v>Positive</v>
      </c>
    </row>
    <row r="530" spans="1:10" x14ac:dyDescent="0.3">
      <c r="A530" s="2">
        <v>46003</v>
      </c>
      <c r="B530" t="s">
        <v>10</v>
      </c>
      <c r="C530" t="s">
        <v>8</v>
      </c>
      <c r="D530">
        <v>12182.29</v>
      </c>
      <c r="E530">
        <v>54</v>
      </c>
      <c r="F530">
        <v>5</v>
      </c>
      <c r="G530">
        <v>16309.2</v>
      </c>
      <c r="H530" s="7">
        <f t="shared" si="24"/>
        <v>9.2592999999999996</v>
      </c>
      <c r="I530">
        <f t="shared" si="25"/>
        <v>0.33879999999999999</v>
      </c>
      <c r="J530" t="str">
        <f t="shared" si="26"/>
        <v>Positive</v>
      </c>
    </row>
    <row r="531" spans="1:10" x14ac:dyDescent="0.3">
      <c r="A531" s="2">
        <v>45744</v>
      </c>
      <c r="B531" t="s">
        <v>10</v>
      </c>
      <c r="C531" t="s">
        <v>14</v>
      </c>
      <c r="D531">
        <v>10619.73</v>
      </c>
      <c r="E531">
        <v>57</v>
      </c>
      <c r="F531">
        <v>1</v>
      </c>
      <c r="G531">
        <v>1924.32</v>
      </c>
      <c r="H531" s="7">
        <f t="shared" si="24"/>
        <v>1.7544</v>
      </c>
      <c r="I531">
        <f t="shared" si="25"/>
        <v>-0.81879999999999997</v>
      </c>
      <c r="J531" t="str">
        <f t="shared" si="26"/>
        <v>Negative</v>
      </c>
    </row>
    <row r="532" spans="1:10" x14ac:dyDescent="0.3">
      <c r="A532" s="2">
        <v>45980</v>
      </c>
      <c r="B532" t="s">
        <v>12</v>
      </c>
      <c r="C532" t="s">
        <v>14</v>
      </c>
      <c r="D532">
        <v>10351.64</v>
      </c>
      <c r="E532">
        <v>203</v>
      </c>
      <c r="F532">
        <v>47</v>
      </c>
      <c r="G532">
        <v>171681.82</v>
      </c>
      <c r="H532" s="7">
        <f t="shared" si="24"/>
        <v>23.152699999999999</v>
      </c>
      <c r="I532">
        <f t="shared" si="25"/>
        <v>15.585000000000001</v>
      </c>
      <c r="J532" t="str">
        <f t="shared" si="26"/>
        <v>Positive</v>
      </c>
    </row>
    <row r="533" spans="1:10" x14ac:dyDescent="0.3">
      <c r="A533" s="2">
        <v>45811</v>
      </c>
      <c r="B533" t="s">
        <v>12</v>
      </c>
      <c r="C533" t="s">
        <v>11</v>
      </c>
      <c r="D533">
        <v>2257.73</v>
      </c>
      <c r="E533">
        <v>225</v>
      </c>
      <c r="F533">
        <v>72</v>
      </c>
      <c r="G533">
        <v>351779.25</v>
      </c>
      <c r="H533" s="7">
        <f t="shared" si="24"/>
        <v>32</v>
      </c>
      <c r="I533">
        <f t="shared" si="25"/>
        <v>154.81100000000001</v>
      </c>
      <c r="J533" t="str">
        <f t="shared" si="26"/>
        <v>Positive</v>
      </c>
    </row>
    <row r="534" spans="1:10" x14ac:dyDescent="0.3">
      <c r="A534" s="2">
        <v>45870</v>
      </c>
      <c r="B534" t="s">
        <v>13</v>
      </c>
      <c r="C534" t="s">
        <v>6</v>
      </c>
      <c r="D534">
        <v>10324.92</v>
      </c>
      <c r="E534">
        <v>238</v>
      </c>
      <c r="F534">
        <v>1</v>
      </c>
      <c r="G534">
        <v>5775.11</v>
      </c>
      <c r="H534" s="7">
        <f t="shared" si="24"/>
        <v>0.42020000000000002</v>
      </c>
      <c r="I534">
        <f t="shared" si="25"/>
        <v>-0.44069999999999998</v>
      </c>
      <c r="J534" t="str">
        <f t="shared" si="26"/>
        <v>Negative</v>
      </c>
    </row>
    <row r="535" spans="1:10" x14ac:dyDescent="0.3">
      <c r="A535" s="2">
        <v>45986</v>
      </c>
      <c r="B535" t="s">
        <v>7</v>
      </c>
      <c r="C535" t="s">
        <v>6</v>
      </c>
      <c r="D535">
        <v>7418.74</v>
      </c>
      <c r="E535">
        <v>112</v>
      </c>
      <c r="F535">
        <v>24</v>
      </c>
      <c r="G535">
        <v>60062.239999999998</v>
      </c>
      <c r="H535" s="7">
        <f t="shared" si="24"/>
        <v>21.428599999999999</v>
      </c>
      <c r="I535">
        <f t="shared" si="25"/>
        <v>7.0960000000000001</v>
      </c>
      <c r="J535" t="str">
        <f t="shared" si="26"/>
        <v>Positive</v>
      </c>
    </row>
    <row r="536" spans="1:10" x14ac:dyDescent="0.3">
      <c r="A536" s="2">
        <v>46000</v>
      </c>
      <c r="B536" t="s">
        <v>13</v>
      </c>
      <c r="C536" t="s">
        <v>6</v>
      </c>
      <c r="D536">
        <v>2203.9699999999998</v>
      </c>
      <c r="E536">
        <v>163</v>
      </c>
      <c r="F536">
        <v>61</v>
      </c>
      <c r="G536">
        <v>171159.61</v>
      </c>
      <c r="H536" s="7">
        <f t="shared" si="24"/>
        <v>37.423299999999998</v>
      </c>
      <c r="I536">
        <f t="shared" si="25"/>
        <v>76.659700000000001</v>
      </c>
      <c r="J536" t="str">
        <f t="shared" si="26"/>
        <v>Positive</v>
      </c>
    </row>
    <row r="537" spans="1:10" x14ac:dyDescent="0.3">
      <c r="A537" s="2">
        <v>45760</v>
      </c>
      <c r="B537" t="s">
        <v>7</v>
      </c>
      <c r="C537" t="s">
        <v>11</v>
      </c>
      <c r="D537">
        <v>8979.43</v>
      </c>
      <c r="E537">
        <v>88</v>
      </c>
      <c r="F537">
        <v>32</v>
      </c>
      <c r="G537">
        <v>119751.19</v>
      </c>
      <c r="H537" s="7">
        <f t="shared" si="24"/>
        <v>36.363599999999998</v>
      </c>
      <c r="I537">
        <f t="shared" si="25"/>
        <v>12.3362</v>
      </c>
      <c r="J537" t="str">
        <f t="shared" si="26"/>
        <v>Positive</v>
      </c>
    </row>
    <row r="538" spans="1:10" x14ac:dyDescent="0.3">
      <c r="A538" s="2">
        <v>45702</v>
      </c>
      <c r="B538" t="s">
        <v>10</v>
      </c>
      <c r="C538" t="s">
        <v>14</v>
      </c>
      <c r="D538">
        <v>2205.73</v>
      </c>
      <c r="E538">
        <v>64</v>
      </c>
      <c r="F538">
        <v>15</v>
      </c>
      <c r="G538">
        <v>41856.239999999998</v>
      </c>
      <c r="H538" s="7">
        <f t="shared" si="24"/>
        <v>23.4375</v>
      </c>
      <c r="I538">
        <f t="shared" si="25"/>
        <v>17.976099999999999</v>
      </c>
      <c r="J538" t="str">
        <f t="shared" si="26"/>
        <v>Positive</v>
      </c>
    </row>
    <row r="539" spans="1:10" x14ac:dyDescent="0.3">
      <c r="A539" s="2">
        <v>45968</v>
      </c>
      <c r="B539" t="s">
        <v>5</v>
      </c>
      <c r="C539" t="s">
        <v>6</v>
      </c>
      <c r="D539">
        <v>5733.06</v>
      </c>
      <c r="E539">
        <v>68</v>
      </c>
      <c r="F539">
        <v>18</v>
      </c>
      <c r="G539">
        <v>79408.149999999994</v>
      </c>
      <c r="H539" s="7">
        <f t="shared" si="24"/>
        <v>26.470600000000001</v>
      </c>
      <c r="I539">
        <f t="shared" si="25"/>
        <v>12.850899999999999</v>
      </c>
      <c r="J539" t="str">
        <f t="shared" si="26"/>
        <v>Positive</v>
      </c>
    </row>
    <row r="540" spans="1:10" x14ac:dyDescent="0.3">
      <c r="A540" s="2">
        <v>46002</v>
      </c>
      <c r="B540" t="s">
        <v>10</v>
      </c>
      <c r="C540" t="s">
        <v>6</v>
      </c>
      <c r="D540">
        <v>11335.44</v>
      </c>
      <c r="E540">
        <v>189</v>
      </c>
      <c r="F540">
        <v>12</v>
      </c>
      <c r="G540">
        <v>43532.25</v>
      </c>
      <c r="H540" s="7">
        <f t="shared" si="24"/>
        <v>6.3491999999999997</v>
      </c>
      <c r="I540">
        <f t="shared" si="25"/>
        <v>2.8403999999999998</v>
      </c>
      <c r="J540" t="str">
        <f t="shared" si="26"/>
        <v>Positive</v>
      </c>
    </row>
    <row r="541" spans="1:10" x14ac:dyDescent="0.3">
      <c r="A541" s="2">
        <v>45727</v>
      </c>
      <c r="B541" t="s">
        <v>10</v>
      </c>
      <c r="C541" t="s">
        <v>8</v>
      </c>
      <c r="D541">
        <v>8867.1299999999992</v>
      </c>
      <c r="E541">
        <v>54</v>
      </c>
      <c r="F541">
        <v>7</v>
      </c>
      <c r="G541">
        <v>23865.46</v>
      </c>
      <c r="H541" s="7">
        <f t="shared" si="24"/>
        <v>12.962999999999999</v>
      </c>
      <c r="I541">
        <f t="shared" si="25"/>
        <v>1.6915</v>
      </c>
      <c r="J541" t="str">
        <f t="shared" si="26"/>
        <v>Positive</v>
      </c>
    </row>
    <row r="542" spans="1:10" x14ac:dyDescent="0.3">
      <c r="A542" s="2">
        <v>45967</v>
      </c>
      <c r="B542" t="s">
        <v>7</v>
      </c>
      <c r="C542" t="s">
        <v>11</v>
      </c>
      <c r="D542">
        <v>12501.61</v>
      </c>
      <c r="E542">
        <v>177</v>
      </c>
      <c r="F542">
        <v>66</v>
      </c>
      <c r="G542">
        <v>96929.46</v>
      </c>
      <c r="H542" s="7">
        <f t="shared" si="24"/>
        <v>37.2881</v>
      </c>
      <c r="I542">
        <f t="shared" si="25"/>
        <v>6.7534000000000001</v>
      </c>
      <c r="J542" t="str">
        <f t="shared" si="26"/>
        <v>Positive</v>
      </c>
    </row>
    <row r="543" spans="1:10" x14ac:dyDescent="0.3">
      <c r="A543" s="2">
        <v>45830</v>
      </c>
      <c r="B543" t="s">
        <v>13</v>
      </c>
      <c r="C543" t="s">
        <v>8</v>
      </c>
      <c r="D543">
        <v>2111.0700000000002</v>
      </c>
      <c r="E543">
        <v>221</v>
      </c>
      <c r="F543">
        <v>47</v>
      </c>
      <c r="G543">
        <v>159292</v>
      </c>
      <c r="H543" s="7">
        <f t="shared" si="24"/>
        <v>21.266999999999999</v>
      </c>
      <c r="I543">
        <f t="shared" si="25"/>
        <v>74.455600000000004</v>
      </c>
      <c r="J543" t="str">
        <f t="shared" si="26"/>
        <v>Positive</v>
      </c>
    </row>
    <row r="544" spans="1:10" x14ac:dyDescent="0.3">
      <c r="A544" s="2">
        <v>45777</v>
      </c>
      <c r="B544" t="s">
        <v>13</v>
      </c>
      <c r="C544" t="s">
        <v>14</v>
      </c>
      <c r="D544">
        <v>8496.17</v>
      </c>
      <c r="E544">
        <v>157</v>
      </c>
      <c r="F544">
        <v>32</v>
      </c>
      <c r="G544">
        <v>46890.080000000002</v>
      </c>
      <c r="H544" s="7">
        <f t="shared" si="24"/>
        <v>20.382200000000001</v>
      </c>
      <c r="I544">
        <f t="shared" si="25"/>
        <v>4.5190000000000001</v>
      </c>
      <c r="J544" t="str">
        <f t="shared" si="26"/>
        <v>Positive</v>
      </c>
    </row>
    <row r="545" spans="1:10" x14ac:dyDescent="0.3">
      <c r="A545" s="2">
        <v>45688</v>
      </c>
      <c r="B545" t="s">
        <v>10</v>
      </c>
      <c r="C545" t="s">
        <v>9</v>
      </c>
      <c r="D545">
        <v>3321.91</v>
      </c>
      <c r="E545">
        <v>55</v>
      </c>
      <c r="F545">
        <v>12</v>
      </c>
      <c r="G545">
        <v>34753.64</v>
      </c>
      <c r="H545" s="7">
        <f t="shared" si="24"/>
        <v>21.818200000000001</v>
      </c>
      <c r="I545">
        <f t="shared" si="25"/>
        <v>9.4619</v>
      </c>
      <c r="J545" t="str">
        <f t="shared" si="26"/>
        <v>Positive</v>
      </c>
    </row>
    <row r="546" spans="1:10" x14ac:dyDescent="0.3">
      <c r="A546" s="2">
        <v>45904</v>
      </c>
      <c r="B546" t="s">
        <v>13</v>
      </c>
      <c r="C546" t="s">
        <v>8</v>
      </c>
      <c r="D546">
        <v>2508.34</v>
      </c>
      <c r="E546">
        <v>185</v>
      </c>
      <c r="F546">
        <v>20</v>
      </c>
      <c r="G546">
        <v>80522.59</v>
      </c>
      <c r="H546" s="7">
        <f t="shared" si="24"/>
        <v>10.8108</v>
      </c>
      <c r="I546">
        <f t="shared" si="25"/>
        <v>31.101900000000001</v>
      </c>
      <c r="J546" t="str">
        <f t="shared" si="26"/>
        <v>Positive</v>
      </c>
    </row>
    <row r="547" spans="1:10" x14ac:dyDescent="0.3">
      <c r="A547" s="2">
        <v>45707</v>
      </c>
      <c r="B547" t="s">
        <v>7</v>
      </c>
      <c r="C547" t="s">
        <v>8</v>
      </c>
      <c r="D547">
        <v>13017.27</v>
      </c>
      <c r="E547">
        <v>185</v>
      </c>
      <c r="F547">
        <v>73</v>
      </c>
      <c r="G547">
        <v>254505.52</v>
      </c>
      <c r="H547" s="7">
        <f t="shared" si="24"/>
        <v>39.459499999999998</v>
      </c>
      <c r="I547">
        <f t="shared" si="25"/>
        <v>18.551400000000001</v>
      </c>
      <c r="J547" t="str">
        <f t="shared" si="26"/>
        <v>Positive</v>
      </c>
    </row>
    <row r="548" spans="1:10" x14ac:dyDescent="0.3">
      <c r="A548" s="2">
        <v>45934</v>
      </c>
      <c r="B548" t="s">
        <v>7</v>
      </c>
      <c r="C548" t="s">
        <v>6</v>
      </c>
      <c r="D548">
        <v>13209.4</v>
      </c>
      <c r="E548">
        <v>31</v>
      </c>
      <c r="F548">
        <v>7</v>
      </c>
      <c r="G548">
        <v>32750.01</v>
      </c>
      <c r="H548" s="7">
        <f t="shared" si="24"/>
        <v>22.5806</v>
      </c>
      <c r="I548">
        <f t="shared" si="25"/>
        <v>1.4793000000000001</v>
      </c>
      <c r="J548" t="str">
        <f t="shared" si="26"/>
        <v>Positive</v>
      </c>
    </row>
    <row r="549" spans="1:10" x14ac:dyDescent="0.3">
      <c r="A549" s="2">
        <v>45924</v>
      </c>
      <c r="B549" t="s">
        <v>13</v>
      </c>
      <c r="C549" t="s">
        <v>11</v>
      </c>
      <c r="D549">
        <v>9777.86</v>
      </c>
      <c r="E549">
        <v>148</v>
      </c>
      <c r="F549">
        <v>50</v>
      </c>
      <c r="G549">
        <v>154580.65</v>
      </c>
      <c r="H549" s="7">
        <f t="shared" si="24"/>
        <v>33.783799999999999</v>
      </c>
      <c r="I549">
        <f t="shared" si="25"/>
        <v>14.8093</v>
      </c>
      <c r="J549" t="str">
        <f t="shared" si="26"/>
        <v>Positive</v>
      </c>
    </row>
    <row r="550" spans="1:10" x14ac:dyDescent="0.3">
      <c r="A550" s="2">
        <v>45845</v>
      </c>
      <c r="B550" t="s">
        <v>10</v>
      </c>
      <c r="C550" t="s">
        <v>11</v>
      </c>
      <c r="D550">
        <v>6503.97</v>
      </c>
      <c r="E550">
        <v>239</v>
      </c>
      <c r="F550">
        <v>50</v>
      </c>
      <c r="G550">
        <v>258272.21</v>
      </c>
      <c r="H550" s="7">
        <f t="shared" si="24"/>
        <v>20.920500000000001</v>
      </c>
      <c r="I550">
        <f t="shared" si="25"/>
        <v>38.709899999999998</v>
      </c>
      <c r="J550" t="str">
        <f t="shared" si="26"/>
        <v>Positive</v>
      </c>
    </row>
    <row r="551" spans="1:10" x14ac:dyDescent="0.3">
      <c r="A551" s="2">
        <v>45887</v>
      </c>
      <c r="B551" t="s">
        <v>7</v>
      </c>
      <c r="C551" t="s">
        <v>9</v>
      </c>
      <c r="D551">
        <v>6258.89</v>
      </c>
      <c r="E551">
        <v>145</v>
      </c>
      <c r="F551">
        <v>14</v>
      </c>
      <c r="G551">
        <v>54087.31</v>
      </c>
      <c r="H551" s="7">
        <f t="shared" si="24"/>
        <v>9.6552000000000007</v>
      </c>
      <c r="I551">
        <f t="shared" si="25"/>
        <v>7.6417000000000002</v>
      </c>
      <c r="J551" t="str">
        <f t="shared" si="26"/>
        <v>Positive</v>
      </c>
    </row>
    <row r="552" spans="1:10" x14ac:dyDescent="0.3">
      <c r="A552" s="2">
        <v>46007</v>
      </c>
      <c r="B552" t="s">
        <v>12</v>
      </c>
      <c r="C552" t="s">
        <v>6</v>
      </c>
      <c r="D552">
        <v>4198.58</v>
      </c>
      <c r="E552">
        <v>74</v>
      </c>
      <c r="F552">
        <v>3</v>
      </c>
      <c r="G552">
        <v>5285.11</v>
      </c>
      <c r="H552" s="7">
        <f t="shared" si="24"/>
        <v>4.0541</v>
      </c>
      <c r="I552">
        <f t="shared" si="25"/>
        <v>0.25879999999999997</v>
      </c>
      <c r="J552" t="str">
        <f t="shared" si="26"/>
        <v>Positive</v>
      </c>
    </row>
    <row r="553" spans="1:10" x14ac:dyDescent="0.3">
      <c r="A553" s="2">
        <v>45989</v>
      </c>
      <c r="B553" t="s">
        <v>10</v>
      </c>
      <c r="C553" t="s">
        <v>6</v>
      </c>
      <c r="D553">
        <v>10768.12</v>
      </c>
      <c r="E553">
        <v>187</v>
      </c>
      <c r="F553">
        <v>28</v>
      </c>
      <c r="G553">
        <v>104835.23</v>
      </c>
      <c r="H553" s="7">
        <f t="shared" si="24"/>
        <v>14.9733</v>
      </c>
      <c r="I553">
        <f t="shared" si="25"/>
        <v>8.7356999999999996</v>
      </c>
      <c r="J553" t="str">
        <f t="shared" si="26"/>
        <v>Positive</v>
      </c>
    </row>
    <row r="554" spans="1:10" x14ac:dyDescent="0.3">
      <c r="A554" s="2">
        <v>45840</v>
      </c>
      <c r="B554" t="s">
        <v>10</v>
      </c>
      <c r="C554" t="s">
        <v>9</v>
      </c>
      <c r="D554">
        <v>8266.11</v>
      </c>
      <c r="E554">
        <v>213</v>
      </c>
      <c r="F554">
        <v>6</v>
      </c>
      <c r="G554">
        <v>26049.98</v>
      </c>
      <c r="H554" s="7">
        <f t="shared" si="24"/>
        <v>2.8169</v>
      </c>
      <c r="I554">
        <f t="shared" si="25"/>
        <v>2.1514000000000002</v>
      </c>
      <c r="J554" t="str">
        <f t="shared" si="26"/>
        <v>Positive</v>
      </c>
    </row>
    <row r="555" spans="1:10" x14ac:dyDescent="0.3">
      <c r="A555" s="2">
        <v>45896</v>
      </c>
      <c r="B555" t="s">
        <v>5</v>
      </c>
      <c r="C555" t="s">
        <v>9</v>
      </c>
      <c r="D555">
        <v>3512.23</v>
      </c>
      <c r="E555">
        <v>177</v>
      </c>
      <c r="F555">
        <v>2</v>
      </c>
      <c r="G555">
        <v>10115.200000000001</v>
      </c>
      <c r="H555" s="7">
        <f t="shared" si="24"/>
        <v>1.1298999999999999</v>
      </c>
      <c r="I555">
        <f t="shared" si="25"/>
        <v>1.88</v>
      </c>
      <c r="J555" t="str">
        <f t="shared" si="26"/>
        <v>Positive</v>
      </c>
    </row>
    <row r="556" spans="1:10" x14ac:dyDescent="0.3">
      <c r="A556" s="2">
        <v>46014</v>
      </c>
      <c r="B556" t="s">
        <v>5</v>
      </c>
      <c r="C556" t="s">
        <v>8</v>
      </c>
      <c r="D556">
        <v>3595.06</v>
      </c>
      <c r="E556">
        <v>237</v>
      </c>
      <c r="F556">
        <v>45</v>
      </c>
      <c r="G556">
        <v>204131.65</v>
      </c>
      <c r="H556" s="7">
        <f t="shared" si="24"/>
        <v>18.987300000000001</v>
      </c>
      <c r="I556">
        <f t="shared" si="25"/>
        <v>55.781199999999998</v>
      </c>
      <c r="J556" t="str">
        <f t="shared" si="26"/>
        <v>Positive</v>
      </c>
    </row>
    <row r="557" spans="1:10" x14ac:dyDescent="0.3">
      <c r="A557" s="2">
        <v>45923</v>
      </c>
      <c r="B557" t="s">
        <v>10</v>
      </c>
      <c r="C557" t="s">
        <v>9</v>
      </c>
      <c r="D557">
        <v>14408.9</v>
      </c>
      <c r="E557">
        <v>107</v>
      </c>
      <c r="F557">
        <v>20</v>
      </c>
      <c r="G557">
        <v>111537.01</v>
      </c>
      <c r="H557" s="7">
        <f t="shared" si="24"/>
        <v>18.691600000000001</v>
      </c>
      <c r="I557">
        <f t="shared" si="25"/>
        <v>6.7408000000000001</v>
      </c>
      <c r="J557" t="str">
        <f t="shared" si="26"/>
        <v>Positive</v>
      </c>
    </row>
    <row r="558" spans="1:10" x14ac:dyDescent="0.3">
      <c r="A558" s="2">
        <v>45939</v>
      </c>
      <c r="B558" t="s">
        <v>10</v>
      </c>
      <c r="C558" t="s">
        <v>6</v>
      </c>
      <c r="D558">
        <v>12318.31</v>
      </c>
      <c r="E558">
        <v>195</v>
      </c>
      <c r="F558">
        <v>7</v>
      </c>
      <c r="G558">
        <v>16617.13</v>
      </c>
      <c r="H558" s="7">
        <f t="shared" si="24"/>
        <v>3.5897000000000001</v>
      </c>
      <c r="I558">
        <f t="shared" si="25"/>
        <v>0.34899999999999998</v>
      </c>
      <c r="J558" t="str">
        <f t="shared" si="26"/>
        <v>Positive</v>
      </c>
    </row>
    <row r="559" spans="1:10" x14ac:dyDescent="0.3">
      <c r="A559" s="2">
        <v>45976</v>
      </c>
      <c r="B559" t="s">
        <v>7</v>
      </c>
      <c r="C559" t="s">
        <v>14</v>
      </c>
      <c r="D559">
        <v>9484.42</v>
      </c>
      <c r="E559">
        <v>190</v>
      </c>
      <c r="F559">
        <v>60</v>
      </c>
      <c r="G559">
        <v>152667.79999999999</v>
      </c>
      <c r="H559" s="7">
        <f t="shared" si="24"/>
        <v>31.578900000000001</v>
      </c>
      <c r="I559">
        <f t="shared" si="25"/>
        <v>15.0967</v>
      </c>
      <c r="J559" t="str">
        <f t="shared" si="26"/>
        <v>Positive</v>
      </c>
    </row>
    <row r="560" spans="1:10" x14ac:dyDescent="0.3">
      <c r="A560" s="2">
        <v>45858</v>
      </c>
      <c r="B560" t="s">
        <v>7</v>
      </c>
      <c r="C560" t="s">
        <v>11</v>
      </c>
      <c r="D560">
        <v>13458.36</v>
      </c>
      <c r="E560">
        <v>24</v>
      </c>
      <c r="F560">
        <v>9</v>
      </c>
      <c r="G560">
        <v>46196.51</v>
      </c>
      <c r="H560" s="7">
        <f t="shared" si="24"/>
        <v>37.5</v>
      </c>
      <c r="I560">
        <f t="shared" si="25"/>
        <v>2.4325999999999999</v>
      </c>
      <c r="J560" t="str">
        <f t="shared" si="26"/>
        <v>Positive</v>
      </c>
    </row>
    <row r="561" spans="1:10" x14ac:dyDescent="0.3">
      <c r="A561" s="2">
        <v>45937</v>
      </c>
      <c r="B561" t="s">
        <v>7</v>
      </c>
      <c r="C561" t="s">
        <v>9</v>
      </c>
      <c r="D561">
        <v>2738.82</v>
      </c>
      <c r="E561">
        <v>196</v>
      </c>
      <c r="F561">
        <v>64</v>
      </c>
      <c r="G561">
        <v>249352.93</v>
      </c>
      <c r="H561" s="7">
        <f t="shared" si="24"/>
        <v>32.653100000000002</v>
      </c>
      <c r="I561">
        <f t="shared" si="25"/>
        <v>90.043899999999994</v>
      </c>
      <c r="J561" t="str">
        <f t="shared" si="26"/>
        <v>Positive</v>
      </c>
    </row>
    <row r="562" spans="1:10" x14ac:dyDescent="0.3">
      <c r="A562" s="2">
        <v>45936</v>
      </c>
      <c r="B562" t="s">
        <v>7</v>
      </c>
      <c r="C562" t="s">
        <v>8</v>
      </c>
      <c r="D562">
        <v>13847.02</v>
      </c>
      <c r="E562">
        <v>168</v>
      </c>
      <c r="F562">
        <v>5</v>
      </c>
      <c r="G562">
        <v>13150.08</v>
      </c>
      <c r="H562" s="7">
        <f t="shared" si="24"/>
        <v>2.9762</v>
      </c>
      <c r="I562">
        <f t="shared" si="25"/>
        <v>-5.0299999999999997E-2</v>
      </c>
      <c r="J562" t="str">
        <f t="shared" si="26"/>
        <v>Negative</v>
      </c>
    </row>
    <row r="563" spans="1:10" x14ac:dyDescent="0.3">
      <c r="A563" s="2">
        <v>45769</v>
      </c>
      <c r="B563" t="s">
        <v>5</v>
      </c>
      <c r="C563" t="s">
        <v>14</v>
      </c>
      <c r="D563">
        <v>6966.32</v>
      </c>
      <c r="E563">
        <v>175</v>
      </c>
      <c r="F563">
        <v>38</v>
      </c>
      <c r="G563">
        <v>218391.56</v>
      </c>
      <c r="H563" s="7">
        <f t="shared" si="24"/>
        <v>21.714300000000001</v>
      </c>
      <c r="I563">
        <f t="shared" si="25"/>
        <v>30.349599999999999</v>
      </c>
      <c r="J563" t="str">
        <f t="shared" si="26"/>
        <v>Positive</v>
      </c>
    </row>
    <row r="564" spans="1:10" x14ac:dyDescent="0.3">
      <c r="A564" s="2">
        <v>45793</v>
      </c>
      <c r="B564" t="s">
        <v>12</v>
      </c>
      <c r="C564" t="s">
        <v>9</v>
      </c>
      <c r="D564">
        <v>6443.75</v>
      </c>
      <c r="E564">
        <v>243</v>
      </c>
      <c r="F564">
        <v>97</v>
      </c>
      <c r="G564">
        <v>183331.61</v>
      </c>
      <c r="H564" s="7">
        <f t="shared" si="24"/>
        <v>39.917700000000004</v>
      </c>
      <c r="I564">
        <f t="shared" si="25"/>
        <v>27.4511</v>
      </c>
      <c r="J564" t="str">
        <f t="shared" si="26"/>
        <v>Positive</v>
      </c>
    </row>
    <row r="565" spans="1:10" x14ac:dyDescent="0.3">
      <c r="A565" s="2">
        <v>45826</v>
      </c>
      <c r="B565" t="s">
        <v>13</v>
      </c>
      <c r="C565" t="s">
        <v>9</v>
      </c>
      <c r="D565">
        <v>5782.65</v>
      </c>
      <c r="E565">
        <v>131</v>
      </c>
      <c r="F565">
        <v>33</v>
      </c>
      <c r="G565">
        <v>98638.48</v>
      </c>
      <c r="H565" s="7">
        <f t="shared" si="24"/>
        <v>25.190799999999999</v>
      </c>
      <c r="I565">
        <f t="shared" si="25"/>
        <v>16.057700000000001</v>
      </c>
      <c r="J565" t="str">
        <f t="shared" si="26"/>
        <v>Positive</v>
      </c>
    </row>
    <row r="566" spans="1:10" x14ac:dyDescent="0.3">
      <c r="A566" s="2">
        <v>46008</v>
      </c>
      <c r="B566" t="s">
        <v>5</v>
      </c>
      <c r="C566" t="s">
        <v>11</v>
      </c>
      <c r="D566">
        <v>4193.91</v>
      </c>
      <c r="E566">
        <v>188</v>
      </c>
      <c r="F566">
        <v>29</v>
      </c>
      <c r="G566">
        <v>114500.45</v>
      </c>
      <c r="H566" s="7">
        <f t="shared" si="24"/>
        <v>15.4255</v>
      </c>
      <c r="I566">
        <f t="shared" si="25"/>
        <v>26.301600000000001</v>
      </c>
      <c r="J566" t="str">
        <f t="shared" si="26"/>
        <v>Positive</v>
      </c>
    </row>
    <row r="567" spans="1:10" x14ac:dyDescent="0.3">
      <c r="A567" s="2">
        <v>45773</v>
      </c>
      <c r="B567" t="s">
        <v>5</v>
      </c>
      <c r="C567" t="s">
        <v>8</v>
      </c>
      <c r="D567">
        <v>4028.99</v>
      </c>
      <c r="E567">
        <v>175</v>
      </c>
      <c r="F567">
        <v>20</v>
      </c>
      <c r="G567">
        <v>117397.96</v>
      </c>
      <c r="H567" s="7">
        <f t="shared" si="24"/>
        <v>11.428599999999999</v>
      </c>
      <c r="I567">
        <f t="shared" si="25"/>
        <v>28.138300000000001</v>
      </c>
      <c r="J567" t="str">
        <f t="shared" si="26"/>
        <v>Positive</v>
      </c>
    </row>
    <row r="568" spans="1:10" x14ac:dyDescent="0.3">
      <c r="A568" s="2">
        <v>45693</v>
      </c>
      <c r="B568" t="s">
        <v>7</v>
      </c>
      <c r="C568" t="s">
        <v>9</v>
      </c>
      <c r="D568">
        <v>4369.91</v>
      </c>
      <c r="E568">
        <v>57</v>
      </c>
      <c r="F568">
        <v>4</v>
      </c>
      <c r="G568">
        <v>22689.599999999999</v>
      </c>
      <c r="H568" s="7">
        <f t="shared" si="24"/>
        <v>7.0175000000000001</v>
      </c>
      <c r="I568">
        <f t="shared" si="25"/>
        <v>4.1921999999999997</v>
      </c>
      <c r="J568" t="str">
        <f t="shared" si="26"/>
        <v>Positive</v>
      </c>
    </row>
    <row r="569" spans="1:10" x14ac:dyDescent="0.3">
      <c r="A569" s="2">
        <v>45860</v>
      </c>
      <c r="B569" t="s">
        <v>5</v>
      </c>
      <c r="C569" t="s">
        <v>6</v>
      </c>
      <c r="D569">
        <v>6307.61</v>
      </c>
      <c r="E569">
        <v>231</v>
      </c>
      <c r="F569">
        <v>21</v>
      </c>
      <c r="G569">
        <v>49473.18</v>
      </c>
      <c r="H569" s="7">
        <f t="shared" si="24"/>
        <v>9.0908999999999995</v>
      </c>
      <c r="I569">
        <f t="shared" si="25"/>
        <v>6.8433999999999999</v>
      </c>
      <c r="J569" t="str">
        <f t="shared" si="26"/>
        <v>Positive</v>
      </c>
    </row>
    <row r="570" spans="1:10" x14ac:dyDescent="0.3">
      <c r="A570" s="2">
        <v>45914</v>
      </c>
      <c r="B570" t="s">
        <v>13</v>
      </c>
      <c r="C570" t="s">
        <v>8</v>
      </c>
      <c r="D570">
        <v>8326.9699999999993</v>
      </c>
      <c r="E570">
        <v>131</v>
      </c>
      <c r="F570">
        <v>42</v>
      </c>
      <c r="G570">
        <v>168676.46</v>
      </c>
      <c r="H570" s="7">
        <f t="shared" si="24"/>
        <v>32.061100000000003</v>
      </c>
      <c r="I570">
        <f t="shared" si="25"/>
        <v>19.256599999999999</v>
      </c>
      <c r="J570" t="str">
        <f t="shared" si="26"/>
        <v>Positive</v>
      </c>
    </row>
    <row r="571" spans="1:10" x14ac:dyDescent="0.3">
      <c r="A571" s="2">
        <v>45968</v>
      </c>
      <c r="B571" t="s">
        <v>10</v>
      </c>
      <c r="C571" t="s">
        <v>9</v>
      </c>
      <c r="D571">
        <v>4358.66</v>
      </c>
      <c r="E571">
        <v>141</v>
      </c>
      <c r="F571">
        <v>10</v>
      </c>
      <c r="G571">
        <v>10226.4</v>
      </c>
      <c r="H571" s="7">
        <f t="shared" si="24"/>
        <v>7.0922000000000001</v>
      </c>
      <c r="I571">
        <f t="shared" si="25"/>
        <v>1.3462000000000001</v>
      </c>
      <c r="J571" t="str">
        <f t="shared" si="26"/>
        <v>Positive</v>
      </c>
    </row>
    <row r="572" spans="1:10" x14ac:dyDescent="0.3">
      <c r="A572" s="2">
        <v>45697</v>
      </c>
      <c r="B572" t="s">
        <v>5</v>
      </c>
      <c r="C572" t="s">
        <v>6</v>
      </c>
      <c r="D572">
        <v>1624.72</v>
      </c>
      <c r="E572">
        <v>217</v>
      </c>
      <c r="F572">
        <v>23</v>
      </c>
      <c r="G572">
        <v>52549.81</v>
      </c>
      <c r="H572" s="7">
        <f t="shared" si="24"/>
        <v>10.5991</v>
      </c>
      <c r="I572">
        <f t="shared" si="25"/>
        <v>31.343900000000001</v>
      </c>
      <c r="J572" t="str">
        <f t="shared" si="26"/>
        <v>Positive</v>
      </c>
    </row>
    <row r="573" spans="1:10" x14ac:dyDescent="0.3">
      <c r="A573" s="2">
        <v>46007</v>
      </c>
      <c r="B573" t="s">
        <v>7</v>
      </c>
      <c r="C573" t="s">
        <v>8</v>
      </c>
      <c r="D573">
        <v>8846.4699999999993</v>
      </c>
      <c r="E573">
        <v>41</v>
      </c>
      <c r="F573">
        <v>13</v>
      </c>
      <c r="G573">
        <v>51823.7</v>
      </c>
      <c r="H573" s="7">
        <f t="shared" si="24"/>
        <v>31.7073</v>
      </c>
      <c r="I573">
        <f t="shared" si="25"/>
        <v>4.8581000000000003</v>
      </c>
      <c r="J573" t="str">
        <f t="shared" si="26"/>
        <v>Positive</v>
      </c>
    </row>
    <row r="574" spans="1:10" x14ac:dyDescent="0.3">
      <c r="A574" s="2">
        <v>45694</v>
      </c>
      <c r="B574" t="s">
        <v>7</v>
      </c>
      <c r="C574" t="s">
        <v>6</v>
      </c>
      <c r="D574">
        <v>14204.49</v>
      </c>
      <c r="E574">
        <v>113</v>
      </c>
      <c r="F574">
        <v>30</v>
      </c>
      <c r="G574">
        <v>168284.17</v>
      </c>
      <c r="H574" s="7">
        <f t="shared" si="24"/>
        <v>26.5487</v>
      </c>
      <c r="I574">
        <f t="shared" si="25"/>
        <v>10.847300000000001</v>
      </c>
      <c r="J574" t="str">
        <f t="shared" si="26"/>
        <v>Positive</v>
      </c>
    </row>
    <row r="575" spans="1:10" x14ac:dyDescent="0.3">
      <c r="A575" s="2">
        <v>45937</v>
      </c>
      <c r="B575" t="s">
        <v>12</v>
      </c>
      <c r="C575" t="s">
        <v>11</v>
      </c>
      <c r="D575">
        <v>14191.11</v>
      </c>
      <c r="E575">
        <v>211</v>
      </c>
      <c r="F575">
        <v>53</v>
      </c>
      <c r="G575">
        <v>223795.35</v>
      </c>
      <c r="H575" s="7">
        <f t="shared" si="24"/>
        <v>25.118500000000001</v>
      </c>
      <c r="I575">
        <f t="shared" si="25"/>
        <v>14.770099999999999</v>
      </c>
      <c r="J575" t="str">
        <f t="shared" si="26"/>
        <v>Positive</v>
      </c>
    </row>
    <row r="576" spans="1:10" x14ac:dyDescent="0.3">
      <c r="A576" s="2">
        <v>45752</v>
      </c>
      <c r="B576" t="s">
        <v>5</v>
      </c>
      <c r="C576" t="s">
        <v>14</v>
      </c>
      <c r="D576">
        <v>1014.56</v>
      </c>
      <c r="E576">
        <v>55</v>
      </c>
      <c r="F576">
        <v>20</v>
      </c>
      <c r="G576">
        <v>116723.31</v>
      </c>
      <c r="H576" s="7">
        <f t="shared" si="24"/>
        <v>36.363599999999998</v>
      </c>
      <c r="I576">
        <f t="shared" si="25"/>
        <v>114.04819999999999</v>
      </c>
      <c r="J576" t="str">
        <f t="shared" si="26"/>
        <v>Positive</v>
      </c>
    </row>
    <row r="577" spans="1:10" x14ac:dyDescent="0.3">
      <c r="A577" s="2">
        <v>46018</v>
      </c>
      <c r="B577" t="s">
        <v>12</v>
      </c>
      <c r="C577" t="s">
        <v>6</v>
      </c>
      <c r="D577">
        <v>12796.65</v>
      </c>
      <c r="E577">
        <v>221</v>
      </c>
      <c r="F577">
        <v>64</v>
      </c>
      <c r="G577">
        <v>97197.68</v>
      </c>
      <c r="H577" s="7">
        <f t="shared" si="24"/>
        <v>28.959299999999999</v>
      </c>
      <c r="I577">
        <f t="shared" si="25"/>
        <v>6.5956000000000001</v>
      </c>
      <c r="J577" t="str">
        <f t="shared" si="26"/>
        <v>Positive</v>
      </c>
    </row>
    <row r="578" spans="1:10" x14ac:dyDescent="0.3">
      <c r="A578" s="2">
        <v>45906</v>
      </c>
      <c r="B578" t="s">
        <v>13</v>
      </c>
      <c r="C578" t="s">
        <v>9</v>
      </c>
      <c r="D578">
        <v>2868.05</v>
      </c>
      <c r="E578">
        <v>225</v>
      </c>
      <c r="F578">
        <v>83</v>
      </c>
      <c r="G578">
        <v>425910.4</v>
      </c>
      <c r="H578" s="7">
        <f t="shared" ref="H578:H641" si="27">ROUND((F578/E578)*100,4)</f>
        <v>36.8889</v>
      </c>
      <c r="I578">
        <f t="shared" ref="I578:I641" si="28">ROUND(((G578-D578)/D578),4)</f>
        <v>147.5017</v>
      </c>
      <c r="J578" t="str">
        <f t="shared" si="26"/>
        <v>Positive</v>
      </c>
    </row>
    <row r="579" spans="1:10" x14ac:dyDescent="0.3">
      <c r="A579" s="2">
        <v>45710</v>
      </c>
      <c r="B579" t="s">
        <v>5</v>
      </c>
      <c r="C579" t="s">
        <v>6</v>
      </c>
      <c r="D579">
        <v>4715</v>
      </c>
      <c r="E579">
        <v>190</v>
      </c>
      <c r="F579">
        <v>36</v>
      </c>
      <c r="G579">
        <v>130972.78</v>
      </c>
      <c r="H579" s="7">
        <f t="shared" si="27"/>
        <v>18.947399999999998</v>
      </c>
      <c r="I579">
        <f t="shared" si="28"/>
        <v>26.777899999999999</v>
      </c>
      <c r="J579" t="str">
        <f t="shared" ref="J579:J642" si="29">IF(I579&gt;0,"Positive","Negative")</f>
        <v>Positive</v>
      </c>
    </row>
    <row r="580" spans="1:10" x14ac:dyDescent="0.3">
      <c r="A580" s="2">
        <v>46010</v>
      </c>
      <c r="B580" t="s">
        <v>12</v>
      </c>
      <c r="C580" t="s">
        <v>11</v>
      </c>
      <c r="D580">
        <v>13196.1</v>
      </c>
      <c r="E580">
        <v>53</v>
      </c>
      <c r="F580">
        <v>4</v>
      </c>
      <c r="G580">
        <v>14654.73</v>
      </c>
      <c r="H580" s="7">
        <f t="shared" si="27"/>
        <v>7.5472000000000001</v>
      </c>
      <c r="I580">
        <f t="shared" si="28"/>
        <v>0.1105</v>
      </c>
      <c r="J580" t="str">
        <f t="shared" si="29"/>
        <v>Positive</v>
      </c>
    </row>
    <row r="581" spans="1:10" x14ac:dyDescent="0.3">
      <c r="A581" s="2">
        <v>45898</v>
      </c>
      <c r="B581" t="s">
        <v>12</v>
      </c>
      <c r="C581" t="s">
        <v>6</v>
      </c>
      <c r="D581">
        <v>4158.3100000000004</v>
      </c>
      <c r="E581">
        <v>170</v>
      </c>
      <c r="F581">
        <v>4</v>
      </c>
      <c r="G581">
        <v>17262.62</v>
      </c>
      <c r="H581" s="7">
        <f t="shared" si="27"/>
        <v>2.3529</v>
      </c>
      <c r="I581">
        <f t="shared" si="28"/>
        <v>3.1514000000000002</v>
      </c>
      <c r="J581" t="str">
        <f t="shared" si="29"/>
        <v>Positive</v>
      </c>
    </row>
    <row r="582" spans="1:10" x14ac:dyDescent="0.3">
      <c r="A582" s="2">
        <v>45721</v>
      </c>
      <c r="B582" t="s">
        <v>12</v>
      </c>
      <c r="C582" t="s">
        <v>6</v>
      </c>
      <c r="D582">
        <v>5783.52</v>
      </c>
      <c r="E582">
        <v>63</v>
      </c>
      <c r="F582">
        <v>5</v>
      </c>
      <c r="G582">
        <v>19962.54</v>
      </c>
      <c r="H582" s="7">
        <f t="shared" si="27"/>
        <v>7.9364999999999997</v>
      </c>
      <c r="I582">
        <f t="shared" si="28"/>
        <v>2.4516</v>
      </c>
      <c r="J582" t="str">
        <f t="shared" si="29"/>
        <v>Positive</v>
      </c>
    </row>
    <row r="583" spans="1:10" x14ac:dyDescent="0.3">
      <c r="A583" s="2">
        <v>45726</v>
      </c>
      <c r="B583" t="s">
        <v>12</v>
      </c>
      <c r="C583" t="s">
        <v>6</v>
      </c>
      <c r="D583">
        <v>13143.3</v>
      </c>
      <c r="E583">
        <v>33</v>
      </c>
      <c r="F583">
        <v>5</v>
      </c>
      <c r="G583">
        <v>28627.39</v>
      </c>
      <c r="H583" s="7">
        <f t="shared" si="27"/>
        <v>15.1515</v>
      </c>
      <c r="I583">
        <f t="shared" si="28"/>
        <v>1.1780999999999999</v>
      </c>
      <c r="J583" t="str">
        <f t="shared" si="29"/>
        <v>Positive</v>
      </c>
    </row>
    <row r="584" spans="1:10" x14ac:dyDescent="0.3">
      <c r="A584" s="2">
        <v>45699</v>
      </c>
      <c r="B584" t="s">
        <v>13</v>
      </c>
      <c r="C584" t="s">
        <v>6</v>
      </c>
      <c r="D584">
        <v>13311.93</v>
      </c>
      <c r="E584">
        <v>144</v>
      </c>
      <c r="F584">
        <v>16</v>
      </c>
      <c r="G584">
        <v>51226.82</v>
      </c>
      <c r="H584" s="7">
        <f t="shared" si="27"/>
        <v>11.1111</v>
      </c>
      <c r="I584">
        <f t="shared" si="28"/>
        <v>2.8481999999999998</v>
      </c>
      <c r="J584" t="str">
        <f t="shared" si="29"/>
        <v>Positive</v>
      </c>
    </row>
    <row r="585" spans="1:10" x14ac:dyDescent="0.3">
      <c r="A585" s="2">
        <v>45761</v>
      </c>
      <c r="B585" t="s">
        <v>12</v>
      </c>
      <c r="C585" t="s">
        <v>8</v>
      </c>
      <c r="D585">
        <v>12462.18</v>
      </c>
      <c r="E585">
        <v>67</v>
      </c>
      <c r="F585">
        <v>10</v>
      </c>
      <c r="G585">
        <v>58513.16</v>
      </c>
      <c r="H585" s="7">
        <f t="shared" si="27"/>
        <v>14.9254</v>
      </c>
      <c r="I585">
        <f t="shared" si="28"/>
        <v>3.6953</v>
      </c>
      <c r="J585" t="str">
        <f t="shared" si="29"/>
        <v>Positive</v>
      </c>
    </row>
    <row r="586" spans="1:10" x14ac:dyDescent="0.3">
      <c r="A586" s="2">
        <v>45957</v>
      </c>
      <c r="B586" t="s">
        <v>5</v>
      </c>
      <c r="C586" t="s">
        <v>8</v>
      </c>
      <c r="D586">
        <v>2369.66</v>
      </c>
      <c r="E586">
        <v>165</v>
      </c>
      <c r="F586">
        <v>14</v>
      </c>
      <c r="G586">
        <v>21434.06</v>
      </c>
      <c r="H586" s="7">
        <f t="shared" si="27"/>
        <v>8.4847999999999999</v>
      </c>
      <c r="I586">
        <f t="shared" si="28"/>
        <v>8.0451999999999995</v>
      </c>
      <c r="J586" t="str">
        <f t="shared" si="29"/>
        <v>Positive</v>
      </c>
    </row>
    <row r="587" spans="1:10" x14ac:dyDescent="0.3">
      <c r="A587" s="2">
        <v>45897</v>
      </c>
      <c r="B587" t="s">
        <v>10</v>
      </c>
      <c r="C587" t="s">
        <v>9</v>
      </c>
      <c r="D587">
        <v>1649.91</v>
      </c>
      <c r="E587">
        <v>151</v>
      </c>
      <c r="F587">
        <v>20</v>
      </c>
      <c r="G587">
        <v>91704.86</v>
      </c>
      <c r="H587" s="7">
        <f t="shared" si="27"/>
        <v>13.244999999999999</v>
      </c>
      <c r="I587">
        <f t="shared" si="28"/>
        <v>54.581699999999998</v>
      </c>
      <c r="J587" t="str">
        <f t="shared" si="29"/>
        <v>Positive</v>
      </c>
    </row>
    <row r="588" spans="1:10" x14ac:dyDescent="0.3">
      <c r="A588" s="2">
        <v>45871</v>
      </c>
      <c r="B588" t="s">
        <v>10</v>
      </c>
      <c r="C588" t="s">
        <v>14</v>
      </c>
      <c r="D588">
        <v>13068.31</v>
      </c>
      <c r="E588">
        <v>238</v>
      </c>
      <c r="F588">
        <v>29</v>
      </c>
      <c r="G588">
        <v>134590.04</v>
      </c>
      <c r="H588" s="7">
        <f t="shared" si="27"/>
        <v>12.184900000000001</v>
      </c>
      <c r="I588">
        <f t="shared" si="28"/>
        <v>9.2989999999999995</v>
      </c>
      <c r="J588" t="str">
        <f t="shared" si="29"/>
        <v>Positive</v>
      </c>
    </row>
    <row r="589" spans="1:10" x14ac:dyDescent="0.3">
      <c r="A589" s="2">
        <v>45669</v>
      </c>
      <c r="B589" t="s">
        <v>10</v>
      </c>
      <c r="C589" t="s">
        <v>8</v>
      </c>
      <c r="D589">
        <v>12313.95</v>
      </c>
      <c r="E589">
        <v>54</v>
      </c>
      <c r="F589">
        <v>7</v>
      </c>
      <c r="G589">
        <v>16395.990000000002</v>
      </c>
      <c r="H589" s="7">
        <f t="shared" si="27"/>
        <v>12.962999999999999</v>
      </c>
      <c r="I589">
        <f t="shared" si="28"/>
        <v>0.33150000000000002</v>
      </c>
      <c r="J589" t="str">
        <f t="shared" si="29"/>
        <v>Positive</v>
      </c>
    </row>
    <row r="590" spans="1:10" x14ac:dyDescent="0.3">
      <c r="A590" s="2">
        <v>45902</v>
      </c>
      <c r="B590" t="s">
        <v>10</v>
      </c>
      <c r="C590" t="s">
        <v>8</v>
      </c>
      <c r="D590">
        <v>6558.02</v>
      </c>
      <c r="E590">
        <v>194</v>
      </c>
      <c r="F590">
        <v>46</v>
      </c>
      <c r="G590">
        <v>214426.08</v>
      </c>
      <c r="H590" s="7">
        <f t="shared" si="27"/>
        <v>23.711300000000001</v>
      </c>
      <c r="I590">
        <f t="shared" si="28"/>
        <v>31.6968</v>
      </c>
      <c r="J590" t="str">
        <f t="shared" si="29"/>
        <v>Positive</v>
      </c>
    </row>
    <row r="591" spans="1:10" x14ac:dyDescent="0.3">
      <c r="A591" s="2">
        <v>46006</v>
      </c>
      <c r="B591" t="s">
        <v>10</v>
      </c>
      <c r="C591" t="s">
        <v>9</v>
      </c>
      <c r="D591">
        <v>8950.5300000000007</v>
      </c>
      <c r="E591">
        <v>181</v>
      </c>
      <c r="F591">
        <v>6</v>
      </c>
      <c r="G591">
        <v>24515.34</v>
      </c>
      <c r="H591" s="7">
        <f t="shared" si="27"/>
        <v>3.3149000000000002</v>
      </c>
      <c r="I591">
        <f t="shared" si="28"/>
        <v>1.7390000000000001</v>
      </c>
      <c r="J591" t="str">
        <f t="shared" si="29"/>
        <v>Positive</v>
      </c>
    </row>
    <row r="592" spans="1:10" x14ac:dyDescent="0.3">
      <c r="A592" s="2">
        <v>45916</v>
      </c>
      <c r="B592" t="s">
        <v>12</v>
      </c>
      <c r="C592" t="s">
        <v>6</v>
      </c>
      <c r="D592">
        <v>12916.22</v>
      </c>
      <c r="E592">
        <v>72</v>
      </c>
      <c r="F592">
        <v>21</v>
      </c>
      <c r="G592">
        <v>31900.62</v>
      </c>
      <c r="H592" s="7">
        <f t="shared" si="27"/>
        <v>29.166699999999999</v>
      </c>
      <c r="I592">
        <f t="shared" si="28"/>
        <v>1.4698</v>
      </c>
      <c r="J592" t="str">
        <f t="shared" si="29"/>
        <v>Positive</v>
      </c>
    </row>
    <row r="593" spans="1:10" x14ac:dyDescent="0.3">
      <c r="A593" s="2">
        <v>45663</v>
      </c>
      <c r="B593" t="s">
        <v>12</v>
      </c>
      <c r="C593" t="s">
        <v>8</v>
      </c>
      <c r="D593">
        <v>11148.13</v>
      </c>
      <c r="E593">
        <v>97</v>
      </c>
      <c r="F593">
        <v>2</v>
      </c>
      <c r="G593">
        <v>6286.3</v>
      </c>
      <c r="H593" s="7">
        <f t="shared" si="27"/>
        <v>2.0619000000000001</v>
      </c>
      <c r="I593">
        <f t="shared" si="28"/>
        <v>-0.43609999999999999</v>
      </c>
      <c r="J593" t="str">
        <f t="shared" si="29"/>
        <v>Negative</v>
      </c>
    </row>
    <row r="594" spans="1:10" x14ac:dyDescent="0.3">
      <c r="A594" s="2">
        <v>45707</v>
      </c>
      <c r="B594" t="s">
        <v>10</v>
      </c>
      <c r="C594" t="s">
        <v>6</v>
      </c>
      <c r="D594">
        <v>3438.24</v>
      </c>
      <c r="E594">
        <v>60</v>
      </c>
      <c r="F594">
        <v>12</v>
      </c>
      <c r="G594">
        <v>24439.3</v>
      </c>
      <c r="H594" s="7">
        <f t="shared" si="27"/>
        <v>20</v>
      </c>
      <c r="I594">
        <f t="shared" si="28"/>
        <v>6.1081000000000003</v>
      </c>
      <c r="J594" t="str">
        <f t="shared" si="29"/>
        <v>Positive</v>
      </c>
    </row>
    <row r="595" spans="1:10" x14ac:dyDescent="0.3">
      <c r="A595" s="2">
        <v>45815</v>
      </c>
      <c r="B595" t="s">
        <v>10</v>
      </c>
      <c r="C595" t="s">
        <v>8</v>
      </c>
      <c r="D595">
        <v>2706.95</v>
      </c>
      <c r="E595">
        <v>70</v>
      </c>
      <c r="F595">
        <v>1</v>
      </c>
      <c r="G595">
        <v>4851.6499999999996</v>
      </c>
      <c r="H595" s="7">
        <f t="shared" si="27"/>
        <v>1.4286000000000001</v>
      </c>
      <c r="I595">
        <f t="shared" si="28"/>
        <v>0.7923</v>
      </c>
      <c r="J595" t="str">
        <f t="shared" si="29"/>
        <v>Positive</v>
      </c>
    </row>
    <row r="596" spans="1:10" x14ac:dyDescent="0.3">
      <c r="A596" s="2">
        <v>45786</v>
      </c>
      <c r="B596" t="s">
        <v>7</v>
      </c>
      <c r="C596" t="s">
        <v>9</v>
      </c>
      <c r="D596">
        <v>12119.24</v>
      </c>
      <c r="E596">
        <v>44</v>
      </c>
      <c r="F596">
        <v>16</v>
      </c>
      <c r="G596">
        <v>35748.32</v>
      </c>
      <c r="H596" s="7">
        <f t="shared" si="27"/>
        <v>36.363599999999998</v>
      </c>
      <c r="I596">
        <f t="shared" si="28"/>
        <v>1.9497</v>
      </c>
      <c r="J596" t="str">
        <f t="shared" si="29"/>
        <v>Positive</v>
      </c>
    </row>
    <row r="597" spans="1:10" x14ac:dyDescent="0.3">
      <c r="A597" s="2">
        <v>46022</v>
      </c>
      <c r="B597" t="s">
        <v>13</v>
      </c>
      <c r="C597" t="s">
        <v>8</v>
      </c>
      <c r="D597">
        <v>5553.81</v>
      </c>
      <c r="E597">
        <v>201</v>
      </c>
      <c r="F597">
        <v>39</v>
      </c>
      <c r="G597">
        <v>233384.61</v>
      </c>
      <c r="H597" s="7">
        <f t="shared" si="27"/>
        <v>19.402999999999999</v>
      </c>
      <c r="I597">
        <f t="shared" si="28"/>
        <v>41.022399999999998</v>
      </c>
      <c r="J597" t="str">
        <f t="shared" si="29"/>
        <v>Positive</v>
      </c>
    </row>
    <row r="598" spans="1:10" x14ac:dyDescent="0.3">
      <c r="A598" s="2">
        <v>45673</v>
      </c>
      <c r="B598" t="s">
        <v>5</v>
      </c>
      <c r="C598" t="s">
        <v>9</v>
      </c>
      <c r="D598">
        <v>9983.39</v>
      </c>
      <c r="E598">
        <v>221</v>
      </c>
      <c r="F598">
        <v>8</v>
      </c>
      <c r="G598">
        <v>40841.769999999997</v>
      </c>
      <c r="H598" s="7">
        <f t="shared" si="27"/>
        <v>3.6198999999999999</v>
      </c>
      <c r="I598">
        <f t="shared" si="28"/>
        <v>3.0910000000000002</v>
      </c>
      <c r="J598" t="str">
        <f t="shared" si="29"/>
        <v>Positive</v>
      </c>
    </row>
    <row r="599" spans="1:10" x14ac:dyDescent="0.3">
      <c r="A599" s="2">
        <v>45796</v>
      </c>
      <c r="B599" t="s">
        <v>5</v>
      </c>
      <c r="C599" t="s">
        <v>11</v>
      </c>
      <c r="D599">
        <v>5850.93</v>
      </c>
      <c r="E599">
        <v>168</v>
      </c>
      <c r="F599">
        <v>57</v>
      </c>
      <c r="G599">
        <v>299214.8</v>
      </c>
      <c r="H599" s="7">
        <f t="shared" si="27"/>
        <v>33.928600000000003</v>
      </c>
      <c r="I599">
        <f t="shared" si="28"/>
        <v>50.139699999999998</v>
      </c>
      <c r="J599" t="str">
        <f t="shared" si="29"/>
        <v>Positive</v>
      </c>
    </row>
    <row r="600" spans="1:10" x14ac:dyDescent="0.3">
      <c r="A600" s="2">
        <v>45826</v>
      </c>
      <c r="B600" t="s">
        <v>10</v>
      </c>
      <c r="C600" t="s">
        <v>14</v>
      </c>
      <c r="D600">
        <v>9942.2999999999993</v>
      </c>
      <c r="E600">
        <v>35</v>
      </c>
      <c r="F600">
        <v>9</v>
      </c>
      <c r="G600">
        <v>50999.519999999997</v>
      </c>
      <c r="H600" s="7">
        <f t="shared" si="27"/>
        <v>25.714300000000001</v>
      </c>
      <c r="I600">
        <f t="shared" si="28"/>
        <v>4.1295000000000002</v>
      </c>
      <c r="J600" t="str">
        <f t="shared" si="29"/>
        <v>Positive</v>
      </c>
    </row>
    <row r="601" spans="1:10" x14ac:dyDescent="0.3">
      <c r="A601" s="2">
        <v>45913</v>
      </c>
      <c r="B601" t="s">
        <v>13</v>
      </c>
      <c r="C601" t="s">
        <v>14</v>
      </c>
      <c r="D601">
        <v>6110.93</v>
      </c>
      <c r="E601">
        <v>46</v>
      </c>
      <c r="F601">
        <v>11</v>
      </c>
      <c r="G601">
        <v>15280.26</v>
      </c>
      <c r="H601" s="7">
        <f t="shared" si="27"/>
        <v>23.913</v>
      </c>
      <c r="I601">
        <f t="shared" si="28"/>
        <v>1.5004999999999999</v>
      </c>
      <c r="J601" t="str">
        <f t="shared" si="29"/>
        <v>Positive</v>
      </c>
    </row>
    <row r="602" spans="1:10" x14ac:dyDescent="0.3">
      <c r="A602" s="2">
        <v>45853</v>
      </c>
      <c r="B602" t="s">
        <v>10</v>
      </c>
      <c r="C602" t="s">
        <v>6</v>
      </c>
      <c r="D602">
        <v>7781.82</v>
      </c>
      <c r="E602">
        <v>187</v>
      </c>
      <c r="F602">
        <v>57</v>
      </c>
      <c r="G602">
        <v>328945.8</v>
      </c>
      <c r="H602" s="7">
        <f t="shared" si="27"/>
        <v>30.481300000000001</v>
      </c>
      <c r="I602">
        <f t="shared" si="28"/>
        <v>41.271099999999997</v>
      </c>
      <c r="J602" t="str">
        <f t="shared" si="29"/>
        <v>Positive</v>
      </c>
    </row>
    <row r="603" spans="1:10" x14ac:dyDescent="0.3">
      <c r="A603" s="2">
        <v>45979</v>
      </c>
      <c r="B603" t="s">
        <v>12</v>
      </c>
      <c r="C603" t="s">
        <v>6</v>
      </c>
      <c r="D603">
        <v>11996.6</v>
      </c>
      <c r="E603">
        <v>73</v>
      </c>
      <c r="F603">
        <v>16</v>
      </c>
      <c r="G603">
        <v>18569.259999999998</v>
      </c>
      <c r="H603" s="7">
        <f t="shared" si="27"/>
        <v>21.9178</v>
      </c>
      <c r="I603">
        <f t="shared" si="28"/>
        <v>0.54790000000000005</v>
      </c>
      <c r="J603" t="str">
        <f t="shared" si="29"/>
        <v>Positive</v>
      </c>
    </row>
    <row r="604" spans="1:10" x14ac:dyDescent="0.3">
      <c r="A604" s="2">
        <v>45663</v>
      </c>
      <c r="B604" t="s">
        <v>13</v>
      </c>
      <c r="C604" t="s">
        <v>8</v>
      </c>
      <c r="D604">
        <v>8764.66</v>
      </c>
      <c r="E604">
        <v>105</v>
      </c>
      <c r="F604">
        <v>12</v>
      </c>
      <c r="G604">
        <v>49832.18</v>
      </c>
      <c r="H604" s="7">
        <f t="shared" si="27"/>
        <v>11.428599999999999</v>
      </c>
      <c r="I604">
        <f t="shared" si="28"/>
        <v>4.6856</v>
      </c>
      <c r="J604" t="str">
        <f t="shared" si="29"/>
        <v>Positive</v>
      </c>
    </row>
    <row r="605" spans="1:10" x14ac:dyDescent="0.3">
      <c r="A605" s="2">
        <v>45935</v>
      </c>
      <c r="B605" t="s">
        <v>5</v>
      </c>
      <c r="C605" t="s">
        <v>14</v>
      </c>
      <c r="D605">
        <v>7543.2</v>
      </c>
      <c r="E605">
        <v>192</v>
      </c>
      <c r="F605">
        <v>29</v>
      </c>
      <c r="G605">
        <v>53136.22</v>
      </c>
      <c r="H605" s="7">
        <f t="shared" si="27"/>
        <v>15.104200000000001</v>
      </c>
      <c r="I605">
        <f t="shared" si="28"/>
        <v>6.0442999999999998</v>
      </c>
      <c r="J605" t="str">
        <f t="shared" si="29"/>
        <v>Positive</v>
      </c>
    </row>
    <row r="606" spans="1:10" x14ac:dyDescent="0.3">
      <c r="A606" s="2">
        <v>45823</v>
      </c>
      <c r="B606" t="s">
        <v>10</v>
      </c>
      <c r="C606" t="s">
        <v>8</v>
      </c>
      <c r="D606">
        <v>9186.5400000000009</v>
      </c>
      <c r="E606">
        <v>183</v>
      </c>
      <c r="F606">
        <v>38</v>
      </c>
      <c r="G606">
        <v>186292.73</v>
      </c>
      <c r="H606" s="7">
        <f t="shared" si="27"/>
        <v>20.765000000000001</v>
      </c>
      <c r="I606">
        <f t="shared" si="28"/>
        <v>19.2789</v>
      </c>
      <c r="J606" t="str">
        <f t="shared" si="29"/>
        <v>Positive</v>
      </c>
    </row>
    <row r="607" spans="1:10" x14ac:dyDescent="0.3">
      <c r="A607" s="2">
        <v>45844</v>
      </c>
      <c r="B607" t="s">
        <v>13</v>
      </c>
      <c r="C607" t="s">
        <v>8</v>
      </c>
      <c r="D607">
        <v>5363.86</v>
      </c>
      <c r="E607">
        <v>241</v>
      </c>
      <c r="F607">
        <v>78</v>
      </c>
      <c r="G607">
        <v>263082.67</v>
      </c>
      <c r="H607" s="7">
        <f t="shared" si="27"/>
        <v>32.365099999999998</v>
      </c>
      <c r="I607">
        <f t="shared" si="28"/>
        <v>48.0473</v>
      </c>
      <c r="J607" t="str">
        <f t="shared" si="29"/>
        <v>Positive</v>
      </c>
    </row>
    <row r="608" spans="1:10" x14ac:dyDescent="0.3">
      <c r="A608" s="2">
        <v>45978</v>
      </c>
      <c r="B608" t="s">
        <v>5</v>
      </c>
      <c r="C608" t="s">
        <v>8</v>
      </c>
      <c r="D608">
        <v>6990.08</v>
      </c>
      <c r="E608">
        <v>200</v>
      </c>
      <c r="F608">
        <v>44</v>
      </c>
      <c r="G608">
        <v>130473.68</v>
      </c>
      <c r="H608" s="7">
        <f t="shared" si="27"/>
        <v>22</v>
      </c>
      <c r="I608">
        <f t="shared" si="28"/>
        <v>17.665500000000002</v>
      </c>
      <c r="J608" t="str">
        <f t="shared" si="29"/>
        <v>Positive</v>
      </c>
    </row>
    <row r="609" spans="1:10" x14ac:dyDescent="0.3">
      <c r="A609" s="2">
        <v>45960</v>
      </c>
      <c r="B609" t="s">
        <v>13</v>
      </c>
      <c r="C609" t="s">
        <v>8</v>
      </c>
      <c r="D609">
        <v>11638.18</v>
      </c>
      <c r="E609">
        <v>161</v>
      </c>
      <c r="F609">
        <v>30</v>
      </c>
      <c r="G609">
        <v>33948.43</v>
      </c>
      <c r="H609" s="7">
        <f t="shared" si="27"/>
        <v>18.633500000000002</v>
      </c>
      <c r="I609">
        <f t="shared" si="28"/>
        <v>1.917</v>
      </c>
      <c r="J609" t="str">
        <f t="shared" si="29"/>
        <v>Positive</v>
      </c>
    </row>
    <row r="610" spans="1:10" x14ac:dyDescent="0.3">
      <c r="A610" s="2">
        <v>45843</v>
      </c>
      <c r="B610" t="s">
        <v>12</v>
      </c>
      <c r="C610" t="s">
        <v>14</v>
      </c>
      <c r="D610">
        <v>13483.87</v>
      </c>
      <c r="E610">
        <v>195</v>
      </c>
      <c r="F610">
        <v>19</v>
      </c>
      <c r="G610">
        <v>100185.45</v>
      </c>
      <c r="H610" s="7">
        <f t="shared" si="27"/>
        <v>9.7436000000000007</v>
      </c>
      <c r="I610">
        <f t="shared" si="28"/>
        <v>6.43</v>
      </c>
      <c r="J610" t="str">
        <f t="shared" si="29"/>
        <v>Positive</v>
      </c>
    </row>
    <row r="611" spans="1:10" x14ac:dyDescent="0.3">
      <c r="A611" s="2">
        <v>45659</v>
      </c>
      <c r="B611" t="s">
        <v>5</v>
      </c>
      <c r="C611" t="s">
        <v>11</v>
      </c>
      <c r="D611">
        <v>6876.18</v>
      </c>
      <c r="E611">
        <v>240</v>
      </c>
      <c r="F611">
        <v>92</v>
      </c>
      <c r="G611">
        <v>208578.26</v>
      </c>
      <c r="H611" s="7">
        <f t="shared" si="27"/>
        <v>38.333300000000001</v>
      </c>
      <c r="I611">
        <f t="shared" si="28"/>
        <v>29.333400000000001</v>
      </c>
      <c r="J611" t="str">
        <f t="shared" si="29"/>
        <v>Positive</v>
      </c>
    </row>
    <row r="612" spans="1:10" x14ac:dyDescent="0.3">
      <c r="A612" s="2">
        <v>45719</v>
      </c>
      <c r="B612" t="s">
        <v>12</v>
      </c>
      <c r="C612" t="s">
        <v>11</v>
      </c>
      <c r="D612">
        <v>2876.74</v>
      </c>
      <c r="E612">
        <v>197</v>
      </c>
      <c r="F612">
        <v>74</v>
      </c>
      <c r="G612">
        <v>349000.93</v>
      </c>
      <c r="H612" s="7">
        <f t="shared" si="27"/>
        <v>37.563499999999998</v>
      </c>
      <c r="I612">
        <f t="shared" si="28"/>
        <v>120.3182</v>
      </c>
      <c r="J612" t="str">
        <f t="shared" si="29"/>
        <v>Positive</v>
      </c>
    </row>
    <row r="613" spans="1:10" x14ac:dyDescent="0.3">
      <c r="A613" s="2">
        <v>45689</v>
      </c>
      <c r="B613" t="s">
        <v>7</v>
      </c>
      <c r="C613" t="s">
        <v>8</v>
      </c>
      <c r="D613">
        <v>2464.4899999999998</v>
      </c>
      <c r="E613">
        <v>91</v>
      </c>
      <c r="F613">
        <v>27</v>
      </c>
      <c r="G613">
        <v>128882.05</v>
      </c>
      <c r="H613" s="7">
        <f t="shared" si="27"/>
        <v>29.670300000000001</v>
      </c>
      <c r="I613">
        <f t="shared" si="28"/>
        <v>51.2956</v>
      </c>
      <c r="J613" t="str">
        <f t="shared" si="29"/>
        <v>Positive</v>
      </c>
    </row>
    <row r="614" spans="1:10" x14ac:dyDescent="0.3">
      <c r="A614" s="2">
        <v>46015</v>
      </c>
      <c r="B614" t="s">
        <v>7</v>
      </c>
      <c r="C614" t="s">
        <v>14</v>
      </c>
      <c r="D614">
        <v>5454.33</v>
      </c>
      <c r="E614">
        <v>32</v>
      </c>
      <c r="F614">
        <v>8</v>
      </c>
      <c r="G614">
        <v>34248.85</v>
      </c>
      <c r="H614" s="7">
        <f t="shared" si="27"/>
        <v>25</v>
      </c>
      <c r="I614">
        <f t="shared" si="28"/>
        <v>5.2792000000000003</v>
      </c>
      <c r="J614" t="str">
        <f t="shared" si="29"/>
        <v>Positive</v>
      </c>
    </row>
    <row r="615" spans="1:10" x14ac:dyDescent="0.3">
      <c r="A615" s="2">
        <v>45995</v>
      </c>
      <c r="B615" t="s">
        <v>13</v>
      </c>
      <c r="C615" t="s">
        <v>6</v>
      </c>
      <c r="D615">
        <v>7098.19</v>
      </c>
      <c r="E615">
        <v>215</v>
      </c>
      <c r="F615">
        <v>68</v>
      </c>
      <c r="G615">
        <v>328423.21999999997</v>
      </c>
      <c r="H615" s="7">
        <f t="shared" si="27"/>
        <v>31.6279</v>
      </c>
      <c r="I615">
        <f t="shared" si="28"/>
        <v>45.268599999999999</v>
      </c>
      <c r="J615" t="str">
        <f t="shared" si="29"/>
        <v>Positive</v>
      </c>
    </row>
    <row r="616" spans="1:10" x14ac:dyDescent="0.3">
      <c r="A616" s="2">
        <v>45809</v>
      </c>
      <c r="B616" t="s">
        <v>7</v>
      </c>
      <c r="C616" t="s">
        <v>11</v>
      </c>
      <c r="D616">
        <v>13673.44</v>
      </c>
      <c r="E616">
        <v>64</v>
      </c>
      <c r="F616">
        <v>16</v>
      </c>
      <c r="G616">
        <v>52861.53</v>
      </c>
      <c r="H616" s="7">
        <f t="shared" si="27"/>
        <v>25</v>
      </c>
      <c r="I616">
        <f t="shared" si="28"/>
        <v>2.8660000000000001</v>
      </c>
      <c r="J616" t="str">
        <f t="shared" si="29"/>
        <v>Positive</v>
      </c>
    </row>
    <row r="617" spans="1:10" x14ac:dyDescent="0.3">
      <c r="A617" s="2">
        <v>45792</v>
      </c>
      <c r="B617" t="s">
        <v>10</v>
      </c>
      <c r="C617" t="s">
        <v>11</v>
      </c>
      <c r="D617">
        <v>12795.41</v>
      </c>
      <c r="E617">
        <v>81</v>
      </c>
      <c r="F617">
        <v>16</v>
      </c>
      <c r="G617">
        <v>40299.53</v>
      </c>
      <c r="H617" s="7">
        <f t="shared" si="27"/>
        <v>19.7531</v>
      </c>
      <c r="I617">
        <f t="shared" si="28"/>
        <v>2.1495000000000002</v>
      </c>
      <c r="J617" t="str">
        <f t="shared" si="29"/>
        <v>Positive</v>
      </c>
    </row>
    <row r="618" spans="1:10" x14ac:dyDescent="0.3">
      <c r="A618" s="2">
        <v>45717</v>
      </c>
      <c r="B618" t="s">
        <v>13</v>
      </c>
      <c r="C618" t="s">
        <v>6</v>
      </c>
      <c r="D618">
        <v>13516.1</v>
      </c>
      <c r="E618">
        <v>82</v>
      </c>
      <c r="F618">
        <v>29</v>
      </c>
      <c r="G618">
        <v>164641.19</v>
      </c>
      <c r="H618" s="7">
        <f t="shared" si="27"/>
        <v>35.365900000000003</v>
      </c>
      <c r="I618">
        <f t="shared" si="28"/>
        <v>11.181100000000001</v>
      </c>
      <c r="J618" t="str">
        <f t="shared" si="29"/>
        <v>Positive</v>
      </c>
    </row>
    <row r="619" spans="1:10" x14ac:dyDescent="0.3">
      <c r="A619" s="2">
        <v>45915</v>
      </c>
      <c r="B619" t="s">
        <v>13</v>
      </c>
      <c r="C619" t="s">
        <v>6</v>
      </c>
      <c r="D619">
        <v>12126.96</v>
      </c>
      <c r="E619">
        <v>143</v>
      </c>
      <c r="F619">
        <v>25</v>
      </c>
      <c r="G619">
        <v>148526.32</v>
      </c>
      <c r="H619" s="7">
        <f t="shared" si="27"/>
        <v>17.482500000000002</v>
      </c>
      <c r="I619">
        <f t="shared" si="28"/>
        <v>11.2476</v>
      </c>
      <c r="J619" t="str">
        <f t="shared" si="29"/>
        <v>Positive</v>
      </c>
    </row>
    <row r="620" spans="1:10" x14ac:dyDescent="0.3">
      <c r="A620" s="2">
        <v>45833</v>
      </c>
      <c r="B620" t="s">
        <v>13</v>
      </c>
      <c r="C620" t="s">
        <v>8</v>
      </c>
      <c r="D620">
        <v>9238.52</v>
      </c>
      <c r="E620">
        <v>72</v>
      </c>
      <c r="F620">
        <v>12</v>
      </c>
      <c r="G620">
        <v>52543.85</v>
      </c>
      <c r="H620" s="7">
        <f t="shared" si="27"/>
        <v>16.666699999999999</v>
      </c>
      <c r="I620">
        <f t="shared" si="28"/>
        <v>4.6875</v>
      </c>
      <c r="J620" t="str">
        <f t="shared" si="29"/>
        <v>Positive</v>
      </c>
    </row>
    <row r="621" spans="1:10" x14ac:dyDescent="0.3">
      <c r="A621" s="2">
        <v>45904</v>
      </c>
      <c r="B621" t="s">
        <v>5</v>
      </c>
      <c r="C621" t="s">
        <v>9</v>
      </c>
      <c r="D621">
        <v>9009.01</v>
      </c>
      <c r="E621">
        <v>93</v>
      </c>
      <c r="F621">
        <v>24</v>
      </c>
      <c r="G621">
        <v>105758.23</v>
      </c>
      <c r="H621" s="7">
        <f t="shared" si="27"/>
        <v>25.8065</v>
      </c>
      <c r="I621">
        <f t="shared" si="28"/>
        <v>10.7392</v>
      </c>
      <c r="J621" t="str">
        <f t="shared" si="29"/>
        <v>Positive</v>
      </c>
    </row>
    <row r="622" spans="1:10" x14ac:dyDescent="0.3">
      <c r="A622" s="2">
        <v>45812</v>
      </c>
      <c r="B622" t="s">
        <v>7</v>
      </c>
      <c r="C622" t="s">
        <v>11</v>
      </c>
      <c r="D622">
        <v>1570.77</v>
      </c>
      <c r="E622">
        <v>69</v>
      </c>
      <c r="F622">
        <v>16</v>
      </c>
      <c r="G622">
        <v>56711.12</v>
      </c>
      <c r="H622" s="7">
        <f t="shared" si="27"/>
        <v>23.188400000000001</v>
      </c>
      <c r="I622">
        <f t="shared" si="28"/>
        <v>35.103999999999999</v>
      </c>
      <c r="J622" t="str">
        <f t="shared" si="29"/>
        <v>Positive</v>
      </c>
    </row>
    <row r="623" spans="1:10" x14ac:dyDescent="0.3">
      <c r="A623" s="2">
        <v>45886</v>
      </c>
      <c r="B623" t="s">
        <v>13</v>
      </c>
      <c r="C623" t="s">
        <v>9</v>
      </c>
      <c r="D623">
        <v>12406.48</v>
      </c>
      <c r="E623">
        <v>198</v>
      </c>
      <c r="F623">
        <v>50</v>
      </c>
      <c r="G623">
        <v>154801.18</v>
      </c>
      <c r="H623" s="7">
        <f t="shared" si="27"/>
        <v>25.252500000000001</v>
      </c>
      <c r="I623">
        <f t="shared" si="28"/>
        <v>11.477399999999999</v>
      </c>
      <c r="J623" t="str">
        <f t="shared" si="29"/>
        <v>Positive</v>
      </c>
    </row>
    <row r="624" spans="1:10" x14ac:dyDescent="0.3">
      <c r="A624" s="2">
        <v>45679</v>
      </c>
      <c r="B624" t="s">
        <v>5</v>
      </c>
      <c r="C624" t="s">
        <v>8</v>
      </c>
      <c r="D624">
        <v>5268.92</v>
      </c>
      <c r="E624">
        <v>180</v>
      </c>
      <c r="F624">
        <v>34</v>
      </c>
      <c r="G624">
        <v>129606.48</v>
      </c>
      <c r="H624" s="7">
        <f t="shared" si="27"/>
        <v>18.8889</v>
      </c>
      <c r="I624">
        <f t="shared" si="28"/>
        <v>23.598299999999998</v>
      </c>
      <c r="J624" t="str">
        <f t="shared" si="29"/>
        <v>Positive</v>
      </c>
    </row>
    <row r="625" spans="1:10" x14ac:dyDescent="0.3">
      <c r="A625" s="2">
        <v>45965</v>
      </c>
      <c r="B625" t="s">
        <v>13</v>
      </c>
      <c r="C625" t="s">
        <v>6</v>
      </c>
      <c r="D625">
        <v>13385.65</v>
      </c>
      <c r="E625">
        <v>191</v>
      </c>
      <c r="F625">
        <v>15</v>
      </c>
      <c r="G625">
        <v>18493.5</v>
      </c>
      <c r="H625" s="7">
        <f t="shared" si="27"/>
        <v>7.8533999999999997</v>
      </c>
      <c r="I625">
        <f t="shared" si="28"/>
        <v>0.38159999999999999</v>
      </c>
      <c r="J625" t="str">
        <f t="shared" si="29"/>
        <v>Positive</v>
      </c>
    </row>
    <row r="626" spans="1:10" x14ac:dyDescent="0.3">
      <c r="A626" s="2">
        <v>45675</v>
      </c>
      <c r="B626" t="s">
        <v>12</v>
      </c>
      <c r="C626" t="s">
        <v>11</v>
      </c>
      <c r="D626">
        <v>12375.39</v>
      </c>
      <c r="E626">
        <v>180</v>
      </c>
      <c r="F626">
        <v>48</v>
      </c>
      <c r="G626">
        <v>124852.25</v>
      </c>
      <c r="H626" s="7">
        <f t="shared" si="27"/>
        <v>26.666699999999999</v>
      </c>
      <c r="I626">
        <f t="shared" si="28"/>
        <v>9.0888000000000009</v>
      </c>
      <c r="J626" t="str">
        <f t="shared" si="29"/>
        <v>Positive</v>
      </c>
    </row>
    <row r="627" spans="1:10" x14ac:dyDescent="0.3">
      <c r="A627" s="2">
        <v>45839</v>
      </c>
      <c r="B627" t="s">
        <v>13</v>
      </c>
      <c r="C627" t="s">
        <v>9</v>
      </c>
      <c r="D627">
        <v>14639.17</v>
      </c>
      <c r="E627">
        <v>121</v>
      </c>
      <c r="F627">
        <v>21</v>
      </c>
      <c r="G627">
        <v>107828.52</v>
      </c>
      <c r="H627" s="7">
        <f t="shared" si="27"/>
        <v>17.355399999999999</v>
      </c>
      <c r="I627">
        <f t="shared" si="28"/>
        <v>6.3658000000000001</v>
      </c>
      <c r="J627" t="str">
        <f t="shared" si="29"/>
        <v>Positive</v>
      </c>
    </row>
    <row r="628" spans="1:10" x14ac:dyDescent="0.3">
      <c r="A628" s="2">
        <v>45904</v>
      </c>
      <c r="B628" t="s">
        <v>10</v>
      </c>
      <c r="C628" t="s">
        <v>8</v>
      </c>
      <c r="D628">
        <v>4489.75</v>
      </c>
      <c r="E628">
        <v>55</v>
      </c>
      <c r="F628">
        <v>8</v>
      </c>
      <c r="G628">
        <v>39776.720000000001</v>
      </c>
      <c r="H628" s="7">
        <f t="shared" si="27"/>
        <v>14.545500000000001</v>
      </c>
      <c r="I628">
        <f t="shared" si="28"/>
        <v>7.8594999999999997</v>
      </c>
      <c r="J628" t="str">
        <f t="shared" si="29"/>
        <v>Positive</v>
      </c>
    </row>
    <row r="629" spans="1:10" x14ac:dyDescent="0.3">
      <c r="A629" s="2">
        <v>45722</v>
      </c>
      <c r="B629" t="s">
        <v>10</v>
      </c>
      <c r="C629" t="s">
        <v>9</v>
      </c>
      <c r="D629">
        <v>1306.54</v>
      </c>
      <c r="E629">
        <v>70</v>
      </c>
      <c r="F629">
        <v>16</v>
      </c>
      <c r="G629">
        <v>53372.38</v>
      </c>
      <c r="H629" s="7">
        <f t="shared" si="27"/>
        <v>22.857099999999999</v>
      </c>
      <c r="I629">
        <f t="shared" si="28"/>
        <v>39.850200000000001</v>
      </c>
      <c r="J629" t="str">
        <f t="shared" si="29"/>
        <v>Positive</v>
      </c>
    </row>
    <row r="630" spans="1:10" x14ac:dyDescent="0.3">
      <c r="A630" s="2">
        <v>45725</v>
      </c>
      <c r="B630" t="s">
        <v>13</v>
      </c>
      <c r="C630" t="s">
        <v>14</v>
      </c>
      <c r="D630">
        <v>9674.2900000000009</v>
      </c>
      <c r="E630">
        <v>126</v>
      </c>
      <c r="F630">
        <v>44</v>
      </c>
      <c r="G630">
        <v>124666.99</v>
      </c>
      <c r="H630" s="7">
        <f t="shared" si="27"/>
        <v>34.9206</v>
      </c>
      <c r="I630">
        <f t="shared" si="28"/>
        <v>11.8864</v>
      </c>
      <c r="J630" t="str">
        <f t="shared" si="29"/>
        <v>Positive</v>
      </c>
    </row>
    <row r="631" spans="1:10" x14ac:dyDescent="0.3">
      <c r="A631" s="2">
        <v>45845</v>
      </c>
      <c r="B631" t="s">
        <v>12</v>
      </c>
      <c r="C631" t="s">
        <v>11</v>
      </c>
      <c r="D631">
        <v>1555.51</v>
      </c>
      <c r="E631">
        <v>130</v>
      </c>
      <c r="F631">
        <v>31</v>
      </c>
      <c r="G631">
        <v>61069.85</v>
      </c>
      <c r="H631" s="7">
        <f t="shared" si="27"/>
        <v>23.8462</v>
      </c>
      <c r="I631">
        <f t="shared" si="28"/>
        <v>38.260300000000001</v>
      </c>
      <c r="J631" t="str">
        <f t="shared" si="29"/>
        <v>Positive</v>
      </c>
    </row>
    <row r="632" spans="1:10" x14ac:dyDescent="0.3">
      <c r="A632" s="2">
        <v>45867</v>
      </c>
      <c r="B632" t="s">
        <v>5</v>
      </c>
      <c r="C632" t="s">
        <v>9</v>
      </c>
      <c r="D632">
        <v>1107.1099999999999</v>
      </c>
      <c r="E632">
        <v>149</v>
      </c>
      <c r="F632">
        <v>58</v>
      </c>
      <c r="G632">
        <v>194876.39</v>
      </c>
      <c r="H632" s="7">
        <f t="shared" si="27"/>
        <v>38.926200000000001</v>
      </c>
      <c r="I632">
        <f t="shared" si="28"/>
        <v>175.02260000000001</v>
      </c>
      <c r="J632" t="str">
        <f t="shared" si="29"/>
        <v>Positive</v>
      </c>
    </row>
    <row r="633" spans="1:10" x14ac:dyDescent="0.3">
      <c r="A633" s="2">
        <v>45755</v>
      </c>
      <c r="B633" t="s">
        <v>13</v>
      </c>
      <c r="C633" t="s">
        <v>8</v>
      </c>
      <c r="D633">
        <v>9528.8799999999992</v>
      </c>
      <c r="E633">
        <v>215</v>
      </c>
      <c r="F633">
        <v>47</v>
      </c>
      <c r="G633">
        <v>71895.539999999994</v>
      </c>
      <c r="H633" s="7">
        <f t="shared" si="27"/>
        <v>21.860499999999998</v>
      </c>
      <c r="I633">
        <f t="shared" si="28"/>
        <v>6.5449999999999999</v>
      </c>
      <c r="J633" t="str">
        <f t="shared" si="29"/>
        <v>Positive</v>
      </c>
    </row>
    <row r="634" spans="1:10" x14ac:dyDescent="0.3">
      <c r="A634" s="2">
        <v>45898</v>
      </c>
      <c r="B634" t="s">
        <v>12</v>
      </c>
      <c r="C634" t="s">
        <v>8</v>
      </c>
      <c r="D634">
        <v>8355.19</v>
      </c>
      <c r="E634">
        <v>142</v>
      </c>
      <c r="F634">
        <v>13</v>
      </c>
      <c r="G634">
        <v>44068.36</v>
      </c>
      <c r="H634" s="7">
        <f t="shared" si="27"/>
        <v>9.1548999999999996</v>
      </c>
      <c r="I634">
        <f t="shared" si="28"/>
        <v>4.2744</v>
      </c>
      <c r="J634" t="str">
        <f t="shared" si="29"/>
        <v>Positive</v>
      </c>
    </row>
    <row r="635" spans="1:10" x14ac:dyDescent="0.3">
      <c r="A635" s="2">
        <v>45820</v>
      </c>
      <c r="B635" t="s">
        <v>5</v>
      </c>
      <c r="C635" t="s">
        <v>11</v>
      </c>
      <c r="D635">
        <v>7464.05</v>
      </c>
      <c r="E635">
        <v>224</v>
      </c>
      <c r="F635">
        <v>63</v>
      </c>
      <c r="G635">
        <v>367717.29</v>
      </c>
      <c r="H635" s="7">
        <f t="shared" si="27"/>
        <v>28.125</v>
      </c>
      <c r="I635">
        <f t="shared" si="28"/>
        <v>48.265099999999997</v>
      </c>
      <c r="J635" t="str">
        <f t="shared" si="29"/>
        <v>Positive</v>
      </c>
    </row>
    <row r="636" spans="1:10" x14ac:dyDescent="0.3">
      <c r="A636" s="2">
        <v>45678</v>
      </c>
      <c r="B636" t="s">
        <v>5</v>
      </c>
      <c r="C636" t="s">
        <v>8</v>
      </c>
      <c r="D636">
        <v>4637.24</v>
      </c>
      <c r="E636">
        <v>127</v>
      </c>
      <c r="F636">
        <v>10</v>
      </c>
      <c r="G636">
        <v>52604.9</v>
      </c>
      <c r="H636" s="7">
        <f t="shared" si="27"/>
        <v>7.8739999999999997</v>
      </c>
      <c r="I636">
        <f t="shared" si="28"/>
        <v>10.343999999999999</v>
      </c>
      <c r="J636" t="str">
        <f t="shared" si="29"/>
        <v>Positive</v>
      </c>
    </row>
    <row r="637" spans="1:10" x14ac:dyDescent="0.3">
      <c r="A637" s="2">
        <v>45878</v>
      </c>
      <c r="B637" t="s">
        <v>10</v>
      </c>
      <c r="C637" t="s">
        <v>11</v>
      </c>
      <c r="D637">
        <v>2995.37</v>
      </c>
      <c r="E637">
        <v>178</v>
      </c>
      <c r="F637">
        <v>24</v>
      </c>
      <c r="G637">
        <v>56498.38</v>
      </c>
      <c r="H637" s="7">
        <f t="shared" si="27"/>
        <v>13.4831</v>
      </c>
      <c r="I637">
        <f t="shared" si="28"/>
        <v>17.861899999999999</v>
      </c>
      <c r="J637" t="str">
        <f t="shared" si="29"/>
        <v>Positive</v>
      </c>
    </row>
    <row r="638" spans="1:10" x14ac:dyDescent="0.3">
      <c r="A638" s="2">
        <v>46019</v>
      </c>
      <c r="B638" t="s">
        <v>13</v>
      </c>
      <c r="C638" t="s">
        <v>9</v>
      </c>
      <c r="D638">
        <v>5035.59</v>
      </c>
      <c r="E638">
        <v>199</v>
      </c>
      <c r="F638">
        <v>50</v>
      </c>
      <c r="G638">
        <v>192673.91</v>
      </c>
      <c r="H638" s="7">
        <f t="shared" si="27"/>
        <v>25.125599999999999</v>
      </c>
      <c r="I638">
        <f t="shared" si="28"/>
        <v>37.2624</v>
      </c>
      <c r="J638" t="str">
        <f t="shared" si="29"/>
        <v>Positive</v>
      </c>
    </row>
    <row r="639" spans="1:10" x14ac:dyDescent="0.3">
      <c r="A639" s="2">
        <v>45811</v>
      </c>
      <c r="B639" t="s">
        <v>7</v>
      </c>
      <c r="C639" t="s">
        <v>14</v>
      </c>
      <c r="D639">
        <v>8046.61</v>
      </c>
      <c r="E639">
        <v>29</v>
      </c>
      <c r="F639">
        <v>6</v>
      </c>
      <c r="G639">
        <v>32684.06</v>
      </c>
      <c r="H639" s="7">
        <f t="shared" si="27"/>
        <v>20.689699999999998</v>
      </c>
      <c r="I639">
        <f t="shared" si="28"/>
        <v>3.0617999999999999</v>
      </c>
      <c r="J639" t="str">
        <f t="shared" si="29"/>
        <v>Positive</v>
      </c>
    </row>
    <row r="640" spans="1:10" x14ac:dyDescent="0.3">
      <c r="A640" s="2">
        <v>45925</v>
      </c>
      <c r="B640" t="s">
        <v>10</v>
      </c>
      <c r="C640" t="s">
        <v>9</v>
      </c>
      <c r="D640">
        <v>4615.91</v>
      </c>
      <c r="E640">
        <v>204</v>
      </c>
      <c r="F640">
        <v>24</v>
      </c>
      <c r="G640">
        <v>98797.96</v>
      </c>
      <c r="H640" s="7">
        <f t="shared" si="27"/>
        <v>11.764699999999999</v>
      </c>
      <c r="I640">
        <f t="shared" si="28"/>
        <v>20.4038</v>
      </c>
      <c r="J640" t="str">
        <f t="shared" si="29"/>
        <v>Positive</v>
      </c>
    </row>
    <row r="641" spans="1:10" x14ac:dyDescent="0.3">
      <c r="A641" s="2">
        <v>45797</v>
      </c>
      <c r="B641" t="s">
        <v>7</v>
      </c>
      <c r="C641" t="s">
        <v>14</v>
      </c>
      <c r="D641">
        <v>12656.33</v>
      </c>
      <c r="E641">
        <v>139</v>
      </c>
      <c r="F641">
        <v>44</v>
      </c>
      <c r="G641">
        <v>127581.64</v>
      </c>
      <c r="H641" s="7">
        <f t="shared" si="27"/>
        <v>31.654699999999998</v>
      </c>
      <c r="I641">
        <f t="shared" si="28"/>
        <v>9.0805000000000007</v>
      </c>
      <c r="J641" t="str">
        <f t="shared" si="29"/>
        <v>Positive</v>
      </c>
    </row>
    <row r="642" spans="1:10" x14ac:dyDescent="0.3">
      <c r="A642" s="2">
        <v>45730</v>
      </c>
      <c r="B642" t="s">
        <v>5</v>
      </c>
      <c r="C642" t="s">
        <v>8</v>
      </c>
      <c r="D642">
        <v>13731.63</v>
      </c>
      <c r="E642">
        <v>217</v>
      </c>
      <c r="F642">
        <v>6</v>
      </c>
      <c r="G642">
        <v>23473.73</v>
      </c>
      <c r="H642" s="7">
        <f t="shared" ref="H642:H705" si="30">ROUND((F642/E642)*100,4)</f>
        <v>2.7650000000000001</v>
      </c>
      <c r="I642">
        <f t="shared" ref="I642:I705" si="31">ROUND(((G642-D642)/D642),4)</f>
        <v>0.70950000000000002</v>
      </c>
      <c r="J642" t="str">
        <f t="shared" si="29"/>
        <v>Positive</v>
      </c>
    </row>
    <row r="643" spans="1:10" x14ac:dyDescent="0.3">
      <c r="A643" s="2">
        <v>45990</v>
      </c>
      <c r="B643" t="s">
        <v>13</v>
      </c>
      <c r="C643" t="s">
        <v>6</v>
      </c>
      <c r="D643">
        <v>12813.49</v>
      </c>
      <c r="E643">
        <v>103</v>
      </c>
      <c r="F643">
        <v>25</v>
      </c>
      <c r="G643">
        <v>137578.32</v>
      </c>
      <c r="H643" s="7">
        <f t="shared" si="30"/>
        <v>24.271799999999999</v>
      </c>
      <c r="I643">
        <f t="shared" si="31"/>
        <v>9.7370000000000001</v>
      </c>
      <c r="J643" t="str">
        <f t="shared" ref="J643:J706" si="32">IF(I643&gt;0,"Positive","Negative")</f>
        <v>Positive</v>
      </c>
    </row>
    <row r="644" spans="1:10" x14ac:dyDescent="0.3">
      <c r="A644" s="2">
        <v>46006</v>
      </c>
      <c r="B644" t="s">
        <v>13</v>
      </c>
      <c r="C644" t="s">
        <v>6</v>
      </c>
      <c r="D644">
        <v>1359.78</v>
      </c>
      <c r="E644">
        <v>107</v>
      </c>
      <c r="F644">
        <v>32</v>
      </c>
      <c r="G644">
        <v>93632.78</v>
      </c>
      <c r="H644" s="7">
        <f t="shared" si="30"/>
        <v>29.906500000000001</v>
      </c>
      <c r="I644">
        <f t="shared" si="31"/>
        <v>67.858800000000002</v>
      </c>
      <c r="J644" t="str">
        <f t="shared" si="32"/>
        <v>Positive</v>
      </c>
    </row>
    <row r="645" spans="1:10" x14ac:dyDescent="0.3">
      <c r="A645" s="2">
        <v>46004</v>
      </c>
      <c r="B645" t="s">
        <v>7</v>
      </c>
      <c r="C645" t="s">
        <v>14</v>
      </c>
      <c r="D645">
        <v>8194.6299999999992</v>
      </c>
      <c r="E645">
        <v>58</v>
      </c>
      <c r="F645">
        <v>13</v>
      </c>
      <c r="G645">
        <v>74637.19</v>
      </c>
      <c r="H645" s="7">
        <f t="shared" si="30"/>
        <v>22.413799999999998</v>
      </c>
      <c r="I645">
        <f t="shared" si="31"/>
        <v>8.1081000000000003</v>
      </c>
      <c r="J645" t="str">
        <f t="shared" si="32"/>
        <v>Positive</v>
      </c>
    </row>
    <row r="646" spans="1:10" x14ac:dyDescent="0.3">
      <c r="A646" s="2">
        <v>45963</v>
      </c>
      <c r="B646" t="s">
        <v>7</v>
      </c>
      <c r="C646" t="s">
        <v>14</v>
      </c>
      <c r="D646">
        <v>5060.29</v>
      </c>
      <c r="E646">
        <v>21</v>
      </c>
      <c r="F646">
        <v>4</v>
      </c>
      <c r="G646">
        <v>20970.09</v>
      </c>
      <c r="H646" s="7">
        <f t="shared" si="30"/>
        <v>19.047599999999999</v>
      </c>
      <c r="I646">
        <f t="shared" si="31"/>
        <v>3.1440000000000001</v>
      </c>
      <c r="J646" t="str">
        <f t="shared" si="32"/>
        <v>Positive</v>
      </c>
    </row>
    <row r="647" spans="1:10" x14ac:dyDescent="0.3">
      <c r="A647" s="2">
        <v>45720</v>
      </c>
      <c r="B647" t="s">
        <v>13</v>
      </c>
      <c r="C647" t="s">
        <v>8</v>
      </c>
      <c r="D647">
        <v>14506.7</v>
      </c>
      <c r="E647">
        <v>28</v>
      </c>
      <c r="F647">
        <v>11</v>
      </c>
      <c r="G647">
        <v>51577.43</v>
      </c>
      <c r="H647" s="7">
        <f t="shared" si="30"/>
        <v>39.285699999999999</v>
      </c>
      <c r="I647">
        <f t="shared" si="31"/>
        <v>2.5554000000000001</v>
      </c>
      <c r="J647" t="str">
        <f t="shared" si="32"/>
        <v>Positive</v>
      </c>
    </row>
    <row r="648" spans="1:10" x14ac:dyDescent="0.3">
      <c r="A648" s="2">
        <v>46004</v>
      </c>
      <c r="B648" t="s">
        <v>12</v>
      </c>
      <c r="C648" t="s">
        <v>6</v>
      </c>
      <c r="D648">
        <v>8282.07</v>
      </c>
      <c r="E648">
        <v>171</v>
      </c>
      <c r="F648">
        <v>15</v>
      </c>
      <c r="G648">
        <v>37333.050000000003</v>
      </c>
      <c r="H648" s="7">
        <f t="shared" si="30"/>
        <v>8.7719000000000005</v>
      </c>
      <c r="I648">
        <f t="shared" si="31"/>
        <v>3.5076999999999998</v>
      </c>
      <c r="J648" t="str">
        <f t="shared" si="32"/>
        <v>Positive</v>
      </c>
    </row>
    <row r="649" spans="1:10" x14ac:dyDescent="0.3">
      <c r="A649" s="2">
        <v>45701</v>
      </c>
      <c r="B649" t="s">
        <v>10</v>
      </c>
      <c r="C649" t="s">
        <v>14</v>
      </c>
      <c r="D649">
        <v>12565.46</v>
      </c>
      <c r="E649">
        <v>23</v>
      </c>
      <c r="F649">
        <v>3</v>
      </c>
      <c r="G649">
        <v>4634.1400000000003</v>
      </c>
      <c r="H649" s="7">
        <f t="shared" si="30"/>
        <v>13.0435</v>
      </c>
      <c r="I649">
        <f t="shared" si="31"/>
        <v>-0.63119999999999998</v>
      </c>
      <c r="J649" t="str">
        <f t="shared" si="32"/>
        <v>Negative</v>
      </c>
    </row>
    <row r="650" spans="1:10" x14ac:dyDescent="0.3">
      <c r="A650" s="2">
        <v>45806</v>
      </c>
      <c r="B650" t="s">
        <v>7</v>
      </c>
      <c r="C650" t="s">
        <v>6</v>
      </c>
      <c r="D650">
        <v>5619.95</v>
      </c>
      <c r="E650">
        <v>29</v>
      </c>
      <c r="F650">
        <v>2</v>
      </c>
      <c r="G650">
        <v>2388.9299999999998</v>
      </c>
      <c r="H650" s="7">
        <f t="shared" si="30"/>
        <v>6.8966000000000003</v>
      </c>
      <c r="I650">
        <f t="shared" si="31"/>
        <v>-0.57489999999999997</v>
      </c>
      <c r="J650" t="str">
        <f t="shared" si="32"/>
        <v>Negative</v>
      </c>
    </row>
    <row r="651" spans="1:10" x14ac:dyDescent="0.3">
      <c r="A651" s="2">
        <v>45769</v>
      </c>
      <c r="B651" t="s">
        <v>13</v>
      </c>
      <c r="C651" t="s">
        <v>9</v>
      </c>
      <c r="D651">
        <v>4282.71</v>
      </c>
      <c r="E651">
        <v>73</v>
      </c>
      <c r="F651">
        <v>9</v>
      </c>
      <c r="G651">
        <v>32016.22</v>
      </c>
      <c r="H651" s="7">
        <f t="shared" si="30"/>
        <v>12.328799999999999</v>
      </c>
      <c r="I651">
        <f t="shared" si="31"/>
        <v>6.4756999999999998</v>
      </c>
      <c r="J651" t="str">
        <f t="shared" si="32"/>
        <v>Positive</v>
      </c>
    </row>
    <row r="652" spans="1:10" x14ac:dyDescent="0.3">
      <c r="A652" s="2">
        <v>45787</v>
      </c>
      <c r="B652" t="s">
        <v>7</v>
      </c>
      <c r="C652" t="s">
        <v>9</v>
      </c>
      <c r="D652">
        <v>3739.05</v>
      </c>
      <c r="E652">
        <v>85</v>
      </c>
      <c r="F652">
        <v>28</v>
      </c>
      <c r="G652">
        <v>119843.58</v>
      </c>
      <c r="H652" s="7">
        <f t="shared" si="30"/>
        <v>32.941200000000002</v>
      </c>
      <c r="I652">
        <f t="shared" si="31"/>
        <v>31.0519</v>
      </c>
      <c r="J652" t="str">
        <f t="shared" si="32"/>
        <v>Positive</v>
      </c>
    </row>
    <row r="653" spans="1:10" x14ac:dyDescent="0.3">
      <c r="A653" s="2">
        <v>45851</v>
      </c>
      <c r="B653" t="s">
        <v>13</v>
      </c>
      <c r="C653" t="s">
        <v>11</v>
      </c>
      <c r="D653">
        <v>3579.66</v>
      </c>
      <c r="E653">
        <v>107</v>
      </c>
      <c r="F653">
        <v>31</v>
      </c>
      <c r="G653">
        <v>37196.949999999997</v>
      </c>
      <c r="H653" s="7">
        <f t="shared" si="30"/>
        <v>28.972000000000001</v>
      </c>
      <c r="I653">
        <f t="shared" si="31"/>
        <v>9.3911999999999995</v>
      </c>
      <c r="J653" t="str">
        <f t="shared" si="32"/>
        <v>Positive</v>
      </c>
    </row>
    <row r="654" spans="1:10" x14ac:dyDescent="0.3">
      <c r="A654" s="2">
        <v>45795</v>
      </c>
      <c r="B654" t="s">
        <v>7</v>
      </c>
      <c r="C654" t="s">
        <v>8</v>
      </c>
      <c r="D654">
        <v>8462.08</v>
      </c>
      <c r="E654">
        <v>104</v>
      </c>
      <c r="F654">
        <v>40</v>
      </c>
      <c r="G654">
        <v>67910.86</v>
      </c>
      <c r="H654" s="7">
        <f t="shared" si="30"/>
        <v>38.461500000000001</v>
      </c>
      <c r="I654">
        <f t="shared" si="31"/>
        <v>7.0252999999999997</v>
      </c>
      <c r="J654" t="str">
        <f t="shared" si="32"/>
        <v>Positive</v>
      </c>
    </row>
    <row r="655" spans="1:10" x14ac:dyDescent="0.3">
      <c r="A655" s="2">
        <v>45974</v>
      </c>
      <c r="B655" t="s">
        <v>10</v>
      </c>
      <c r="C655" t="s">
        <v>14</v>
      </c>
      <c r="D655">
        <v>5655.39</v>
      </c>
      <c r="E655">
        <v>153</v>
      </c>
      <c r="F655">
        <v>21</v>
      </c>
      <c r="G655">
        <v>92165.87</v>
      </c>
      <c r="H655" s="7">
        <f t="shared" si="30"/>
        <v>13.7255</v>
      </c>
      <c r="I655">
        <f t="shared" si="31"/>
        <v>15.297000000000001</v>
      </c>
      <c r="J655" t="str">
        <f t="shared" si="32"/>
        <v>Positive</v>
      </c>
    </row>
    <row r="656" spans="1:10" x14ac:dyDescent="0.3">
      <c r="A656" s="2">
        <v>45661</v>
      </c>
      <c r="B656" t="s">
        <v>7</v>
      </c>
      <c r="C656" t="s">
        <v>8</v>
      </c>
      <c r="D656">
        <v>5143.13</v>
      </c>
      <c r="E656">
        <v>237</v>
      </c>
      <c r="F656">
        <v>51</v>
      </c>
      <c r="G656">
        <v>227119.07</v>
      </c>
      <c r="H656" s="7">
        <f t="shared" si="30"/>
        <v>21.518999999999998</v>
      </c>
      <c r="I656">
        <f t="shared" si="31"/>
        <v>43.159700000000001</v>
      </c>
      <c r="J656" t="str">
        <f t="shared" si="32"/>
        <v>Positive</v>
      </c>
    </row>
    <row r="657" spans="1:10" x14ac:dyDescent="0.3">
      <c r="A657" s="2">
        <v>45788</v>
      </c>
      <c r="B657" t="s">
        <v>5</v>
      </c>
      <c r="C657" t="s">
        <v>9</v>
      </c>
      <c r="D657">
        <v>8913.68</v>
      </c>
      <c r="E657">
        <v>153</v>
      </c>
      <c r="F657">
        <v>18</v>
      </c>
      <c r="G657">
        <v>50523.95</v>
      </c>
      <c r="H657" s="7">
        <f t="shared" si="30"/>
        <v>11.764699999999999</v>
      </c>
      <c r="I657">
        <f t="shared" si="31"/>
        <v>4.6680999999999999</v>
      </c>
      <c r="J657" t="str">
        <f t="shared" si="32"/>
        <v>Positive</v>
      </c>
    </row>
    <row r="658" spans="1:10" x14ac:dyDescent="0.3">
      <c r="A658" s="2">
        <v>45819</v>
      </c>
      <c r="B658" t="s">
        <v>13</v>
      </c>
      <c r="C658" t="s">
        <v>8</v>
      </c>
      <c r="D658">
        <v>11450.44</v>
      </c>
      <c r="E658">
        <v>232</v>
      </c>
      <c r="F658">
        <v>10</v>
      </c>
      <c r="G658">
        <v>10546.12</v>
      </c>
      <c r="H658" s="7">
        <f t="shared" si="30"/>
        <v>4.3102999999999998</v>
      </c>
      <c r="I658">
        <f t="shared" si="31"/>
        <v>-7.9000000000000001E-2</v>
      </c>
      <c r="J658" t="str">
        <f t="shared" si="32"/>
        <v>Negative</v>
      </c>
    </row>
    <row r="659" spans="1:10" x14ac:dyDescent="0.3">
      <c r="A659" s="2">
        <v>45688</v>
      </c>
      <c r="B659" t="s">
        <v>7</v>
      </c>
      <c r="C659" t="s">
        <v>14</v>
      </c>
      <c r="D659">
        <v>11239.74</v>
      </c>
      <c r="E659">
        <v>52</v>
      </c>
      <c r="F659">
        <v>3</v>
      </c>
      <c r="G659">
        <v>7463.32</v>
      </c>
      <c r="H659" s="7">
        <f t="shared" si="30"/>
        <v>5.7691999999999997</v>
      </c>
      <c r="I659">
        <f t="shared" si="31"/>
        <v>-0.33600000000000002</v>
      </c>
      <c r="J659" t="str">
        <f t="shared" si="32"/>
        <v>Negative</v>
      </c>
    </row>
    <row r="660" spans="1:10" x14ac:dyDescent="0.3">
      <c r="A660" s="2">
        <v>45959</v>
      </c>
      <c r="B660" t="s">
        <v>13</v>
      </c>
      <c r="C660" t="s">
        <v>9</v>
      </c>
      <c r="D660">
        <v>3948.77</v>
      </c>
      <c r="E660">
        <v>110</v>
      </c>
      <c r="F660">
        <v>8</v>
      </c>
      <c r="G660">
        <v>31980.97</v>
      </c>
      <c r="H660" s="7">
        <f t="shared" si="30"/>
        <v>7.2727000000000004</v>
      </c>
      <c r="I660">
        <f t="shared" si="31"/>
        <v>7.0990000000000002</v>
      </c>
      <c r="J660" t="str">
        <f t="shared" si="32"/>
        <v>Positive</v>
      </c>
    </row>
    <row r="661" spans="1:10" x14ac:dyDescent="0.3">
      <c r="A661" s="2">
        <v>45904</v>
      </c>
      <c r="B661" t="s">
        <v>7</v>
      </c>
      <c r="C661" t="s">
        <v>8</v>
      </c>
      <c r="D661">
        <v>11789.76</v>
      </c>
      <c r="E661">
        <v>33</v>
      </c>
      <c r="F661">
        <v>10</v>
      </c>
      <c r="G661">
        <v>12818.29</v>
      </c>
      <c r="H661" s="7">
        <f t="shared" si="30"/>
        <v>30.303000000000001</v>
      </c>
      <c r="I661">
        <f t="shared" si="31"/>
        <v>8.72E-2</v>
      </c>
      <c r="J661" t="str">
        <f t="shared" si="32"/>
        <v>Positive</v>
      </c>
    </row>
    <row r="662" spans="1:10" x14ac:dyDescent="0.3">
      <c r="A662" s="2">
        <v>45954</v>
      </c>
      <c r="B662" t="s">
        <v>7</v>
      </c>
      <c r="C662" t="s">
        <v>14</v>
      </c>
      <c r="D662">
        <v>13622.9</v>
      </c>
      <c r="E662">
        <v>40</v>
      </c>
      <c r="F662">
        <v>8</v>
      </c>
      <c r="G662">
        <v>33563.599999999999</v>
      </c>
      <c r="H662" s="7">
        <f t="shared" si="30"/>
        <v>20</v>
      </c>
      <c r="I662">
        <f t="shared" si="31"/>
        <v>1.4638</v>
      </c>
      <c r="J662" t="str">
        <f t="shared" si="32"/>
        <v>Positive</v>
      </c>
    </row>
    <row r="663" spans="1:10" x14ac:dyDescent="0.3">
      <c r="A663" s="2">
        <v>45808</v>
      </c>
      <c r="B663" t="s">
        <v>10</v>
      </c>
      <c r="C663" t="s">
        <v>14</v>
      </c>
      <c r="D663">
        <v>2182.8200000000002</v>
      </c>
      <c r="E663">
        <v>60</v>
      </c>
      <c r="F663">
        <v>3</v>
      </c>
      <c r="G663">
        <v>5209.8599999999997</v>
      </c>
      <c r="H663" s="7">
        <f t="shared" si="30"/>
        <v>5</v>
      </c>
      <c r="I663">
        <f t="shared" si="31"/>
        <v>1.3868</v>
      </c>
      <c r="J663" t="str">
        <f t="shared" si="32"/>
        <v>Positive</v>
      </c>
    </row>
    <row r="664" spans="1:10" x14ac:dyDescent="0.3">
      <c r="A664" s="2">
        <v>45881</v>
      </c>
      <c r="B664" t="s">
        <v>10</v>
      </c>
      <c r="C664" t="s">
        <v>8</v>
      </c>
      <c r="D664">
        <v>2858.6</v>
      </c>
      <c r="E664">
        <v>27</v>
      </c>
      <c r="F664">
        <v>7</v>
      </c>
      <c r="G664">
        <v>31915.83</v>
      </c>
      <c r="H664" s="7">
        <f t="shared" si="30"/>
        <v>25.925899999999999</v>
      </c>
      <c r="I664">
        <f t="shared" si="31"/>
        <v>10.1648</v>
      </c>
      <c r="J664" t="str">
        <f t="shared" si="32"/>
        <v>Positive</v>
      </c>
    </row>
    <row r="665" spans="1:10" x14ac:dyDescent="0.3">
      <c r="A665" s="2">
        <v>45686</v>
      </c>
      <c r="B665" t="s">
        <v>5</v>
      </c>
      <c r="C665" t="s">
        <v>14</v>
      </c>
      <c r="D665">
        <v>13297.92</v>
      </c>
      <c r="E665">
        <v>179</v>
      </c>
      <c r="F665">
        <v>68</v>
      </c>
      <c r="G665">
        <v>370169.22</v>
      </c>
      <c r="H665" s="7">
        <f t="shared" si="30"/>
        <v>37.988799999999998</v>
      </c>
      <c r="I665">
        <f t="shared" si="31"/>
        <v>26.836600000000001</v>
      </c>
      <c r="J665" t="str">
        <f t="shared" si="32"/>
        <v>Positive</v>
      </c>
    </row>
    <row r="666" spans="1:10" x14ac:dyDescent="0.3">
      <c r="A666" s="2">
        <v>45911</v>
      </c>
      <c r="B666" t="s">
        <v>13</v>
      </c>
      <c r="C666" t="s">
        <v>6</v>
      </c>
      <c r="D666">
        <v>5868.14</v>
      </c>
      <c r="E666">
        <v>84</v>
      </c>
      <c r="F666">
        <v>5</v>
      </c>
      <c r="G666">
        <v>14318.85</v>
      </c>
      <c r="H666" s="7">
        <f t="shared" si="30"/>
        <v>5.9523999999999999</v>
      </c>
      <c r="I666">
        <f t="shared" si="31"/>
        <v>1.4400999999999999</v>
      </c>
      <c r="J666" t="str">
        <f t="shared" si="32"/>
        <v>Positive</v>
      </c>
    </row>
    <row r="667" spans="1:10" x14ac:dyDescent="0.3">
      <c r="A667" s="2">
        <v>45997</v>
      </c>
      <c r="B667" t="s">
        <v>10</v>
      </c>
      <c r="C667" t="s">
        <v>6</v>
      </c>
      <c r="D667">
        <v>10983.72</v>
      </c>
      <c r="E667">
        <v>111</v>
      </c>
      <c r="F667">
        <v>32</v>
      </c>
      <c r="G667">
        <v>65108.42</v>
      </c>
      <c r="H667" s="7">
        <f t="shared" si="30"/>
        <v>28.828800000000001</v>
      </c>
      <c r="I667">
        <f t="shared" si="31"/>
        <v>4.9276999999999997</v>
      </c>
      <c r="J667" t="str">
        <f t="shared" si="32"/>
        <v>Positive</v>
      </c>
    </row>
    <row r="668" spans="1:10" x14ac:dyDescent="0.3">
      <c r="A668" s="2">
        <v>45787</v>
      </c>
      <c r="B668" t="s">
        <v>13</v>
      </c>
      <c r="C668" t="s">
        <v>6</v>
      </c>
      <c r="D668">
        <v>2494.66</v>
      </c>
      <c r="E668">
        <v>143</v>
      </c>
      <c r="F668">
        <v>18</v>
      </c>
      <c r="G668">
        <v>48202.45</v>
      </c>
      <c r="H668" s="7">
        <f t="shared" si="30"/>
        <v>12.587400000000001</v>
      </c>
      <c r="I668">
        <f t="shared" si="31"/>
        <v>18.322299999999998</v>
      </c>
      <c r="J668" t="str">
        <f t="shared" si="32"/>
        <v>Positive</v>
      </c>
    </row>
    <row r="669" spans="1:10" x14ac:dyDescent="0.3">
      <c r="A669" s="2">
        <v>45808</v>
      </c>
      <c r="B669" t="s">
        <v>13</v>
      </c>
      <c r="C669" t="s">
        <v>11</v>
      </c>
      <c r="D669">
        <v>6148.19</v>
      </c>
      <c r="E669">
        <v>114</v>
      </c>
      <c r="F669">
        <v>14</v>
      </c>
      <c r="G669">
        <v>33477.589999999997</v>
      </c>
      <c r="H669" s="7">
        <f t="shared" si="30"/>
        <v>12.2807</v>
      </c>
      <c r="I669">
        <f t="shared" si="31"/>
        <v>4.4451000000000001</v>
      </c>
      <c r="J669" t="str">
        <f t="shared" si="32"/>
        <v>Positive</v>
      </c>
    </row>
    <row r="670" spans="1:10" x14ac:dyDescent="0.3">
      <c r="A670" s="2">
        <v>45732</v>
      </c>
      <c r="B670" t="s">
        <v>5</v>
      </c>
      <c r="C670" t="s">
        <v>6</v>
      </c>
      <c r="D670">
        <v>1508.46</v>
      </c>
      <c r="E670">
        <v>97</v>
      </c>
      <c r="F670">
        <v>21</v>
      </c>
      <c r="G670">
        <v>85174.14</v>
      </c>
      <c r="H670" s="7">
        <f t="shared" si="30"/>
        <v>21.6495</v>
      </c>
      <c r="I670">
        <f t="shared" si="31"/>
        <v>55.464300000000001</v>
      </c>
      <c r="J670" t="str">
        <f t="shared" si="32"/>
        <v>Positive</v>
      </c>
    </row>
    <row r="671" spans="1:10" x14ac:dyDescent="0.3">
      <c r="A671" s="2">
        <v>45794</v>
      </c>
      <c r="B671" t="s">
        <v>5</v>
      </c>
      <c r="C671" t="s">
        <v>9</v>
      </c>
      <c r="D671">
        <v>1162.4000000000001</v>
      </c>
      <c r="E671">
        <v>245</v>
      </c>
      <c r="F671">
        <v>10</v>
      </c>
      <c r="G671">
        <v>56162.39</v>
      </c>
      <c r="H671" s="7">
        <f t="shared" si="30"/>
        <v>4.0815999999999999</v>
      </c>
      <c r="I671">
        <f t="shared" si="31"/>
        <v>47.315899999999999</v>
      </c>
      <c r="J671" t="str">
        <f t="shared" si="32"/>
        <v>Positive</v>
      </c>
    </row>
    <row r="672" spans="1:10" x14ac:dyDescent="0.3">
      <c r="A672" s="2">
        <v>45847</v>
      </c>
      <c r="B672" t="s">
        <v>5</v>
      </c>
      <c r="C672" t="s">
        <v>6</v>
      </c>
      <c r="D672">
        <v>7557.32</v>
      </c>
      <c r="E672">
        <v>109</v>
      </c>
      <c r="F672">
        <v>26</v>
      </c>
      <c r="G672">
        <v>91782.12</v>
      </c>
      <c r="H672" s="7">
        <f t="shared" si="30"/>
        <v>23.853200000000001</v>
      </c>
      <c r="I672">
        <f t="shared" si="31"/>
        <v>11.1448</v>
      </c>
      <c r="J672" t="str">
        <f t="shared" si="32"/>
        <v>Positive</v>
      </c>
    </row>
    <row r="673" spans="1:10" x14ac:dyDescent="0.3">
      <c r="A673" s="2">
        <v>45700</v>
      </c>
      <c r="B673" t="s">
        <v>7</v>
      </c>
      <c r="C673" t="s">
        <v>11</v>
      </c>
      <c r="D673">
        <v>4296.97</v>
      </c>
      <c r="E673">
        <v>73</v>
      </c>
      <c r="F673">
        <v>4</v>
      </c>
      <c r="G673">
        <v>11136.7</v>
      </c>
      <c r="H673" s="7">
        <f t="shared" si="30"/>
        <v>5.4794999999999998</v>
      </c>
      <c r="I673">
        <f t="shared" si="31"/>
        <v>1.5918000000000001</v>
      </c>
      <c r="J673" t="str">
        <f t="shared" si="32"/>
        <v>Positive</v>
      </c>
    </row>
    <row r="674" spans="1:10" x14ac:dyDescent="0.3">
      <c r="A674" s="2">
        <v>45939</v>
      </c>
      <c r="B674" t="s">
        <v>13</v>
      </c>
      <c r="C674" t="s">
        <v>14</v>
      </c>
      <c r="D674">
        <v>5447.95</v>
      </c>
      <c r="E674">
        <v>216</v>
      </c>
      <c r="F674">
        <v>58</v>
      </c>
      <c r="G674">
        <v>226513.71</v>
      </c>
      <c r="H674" s="7">
        <f t="shared" si="30"/>
        <v>26.851900000000001</v>
      </c>
      <c r="I674">
        <f t="shared" si="31"/>
        <v>40.577800000000003</v>
      </c>
      <c r="J674" t="str">
        <f t="shared" si="32"/>
        <v>Positive</v>
      </c>
    </row>
    <row r="675" spans="1:10" x14ac:dyDescent="0.3">
      <c r="A675" s="2">
        <v>45672</v>
      </c>
      <c r="B675" t="s">
        <v>13</v>
      </c>
      <c r="C675" t="s">
        <v>9</v>
      </c>
      <c r="D675">
        <v>4376.84</v>
      </c>
      <c r="E675">
        <v>162</v>
      </c>
      <c r="F675">
        <v>18</v>
      </c>
      <c r="G675">
        <v>104540.17</v>
      </c>
      <c r="H675" s="7">
        <f t="shared" si="30"/>
        <v>11.1111</v>
      </c>
      <c r="I675">
        <f t="shared" si="31"/>
        <v>22.884899999999998</v>
      </c>
      <c r="J675" t="str">
        <f t="shared" si="32"/>
        <v>Positive</v>
      </c>
    </row>
    <row r="676" spans="1:10" x14ac:dyDescent="0.3">
      <c r="A676" s="2">
        <v>45883</v>
      </c>
      <c r="B676" t="s">
        <v>13</v>
      </c>
      <c r="C676" t="s">
        <v>8</v>
      </c>
      <c r="D676">
        <v>7825.54</v>
      </c>
      <c r="E676">
        <v>177</v>
      </c>
      <c r="F676">
        <v>68</v>
      </c>
      <c r="G676">
        <v>227503.74</v>
      </c>
      <c r="H676" s="7">
        <f t="shared" si="30"/>
        <v>38.418100000000003</v>
      </c>
      <c r="I676">
        <f t="shared" si="31"/>
        <v>28.071999999999999</v>
      </c>
      <c r="J676" t="str">
        <f t="shared" si="32"/>
        <v>Positive</v>
      </c>
    </row>
    <row r="677" spans="1:10" x14ac:dyDescent="0.3">
      <c r="A677" s="2">
        <v>45968</v>
      </c>
      <c r="B677" t="s">
        <v>5</v>
      </c>
      <c r="C677" t="s">
        <v>6</v>
      </c>
      <c r="D677">
        <v>8755.01</v>
      </c>
      <c r="E677">
        <v>53</v>
      </c>
      <c r="F677">
        <v>8</v>
      </c>
      <c r="G677">
        <v>30793.57</v>
      </c>
      <c r="H677" s="7">
        <f t="shared" si="30"/>
        <v>15.0943</v>
      </c>
      <c r="I677">
        <f t="shared" si="31"/>
        <v>2.5173000000000001</v>
      </c>
      <c r="J677" t="str">
        <f t="shared" si="32"/>
        <v>Positive</v>
      </c>
    </row>
    <row r="678" spans="1:10" x14ac:dyDescent="0.3">
      <c r="A678" s="2">
        <v>45932</v>
      </c>
      <c r="B678" t="s">
        <v>12</v>
      </c>
      <c r="C678" t="s">
        <v>6</v>
      </c>
      <c r="D678">
        <v>12242.85</v>
      </c>
      <c r="E678">
        <v>65</v>
      </c>
      <c r="F678">
        <v>6</v>
      </c>
      <c r="G678">
        <v>33350.9</v>
      </c>
      <c r="H678" s="7">
        <f t="shared" si="30"/>
        <v>9.2308000000000003</v>
      </c>
      <c r="I678">
        <f t="shared" si="31"/>
        <v>1.7241</v>
      </c>
      <c r="J678" t="str">
        <f t="shared" si="32"/>
        <v>Positive</v>
      </c>
    </row>
    <row r="679" spans="1:10" x14ac:dyDescent="0.3">
      <c r="A679" s="2">
        <v>45898</v>
      </c>
      <c r="B679" t="s">
        <v>5</v>
      </c>
      <c r="C679" t="s">
        <v>11</v>
      </c>
      <c r="D679">
        <v>14228.77</v>
      </c>
      <c r="E679">
        <v>170</v>
      </c>
      <c r="F679">
        <v>29</v>
      </c>
      <c r="G679">
        <v>152273.14000000001</v>
      </c>
      <c r="H679" s="7">
        <f t="shared" si="30"/>
        <v>17.058800000000002</v>
      </c>
      <c r="I679">
        <f t="shared" si="31"/>
        <v>9.7018000000000004</v>
      </c>
      <c r="J679" t="str">
        <f t="shared" si="32"/>
        <v>Positive</v>
      </c>
    </row>
    <row r="680" spans="1:10" x14ac:dyDescent="0.3">
      <c r="A680" s="2">
        <v>45666</v>
      </c>
      <c r="B680" t="s">
        <v>7</v>
      </c>
      <c r="C680" t="s">
        <v>6</v>
      </c>
      <c r="D680">
        <v>3665.6</v>
      </c>
      <c r="E680">
        <v>225</v>
      </c>
      <c r="F680">
        <v>29</v>
      </c>
      <c r="G680">
        <v>116761.31</v>
      </c>
      <c r="H680" s="7">
        <f t="shared" si="30"/>
        <v>12.8889</v>
      </c>
      <c r="I680">
        <f t="shared" si="31"/>
        <v>30.853300000000001</v>
      </c>
      <c r="J680" t="str">
        <f t="shared" si="32"/>
        <v>Positive</v>
      </c>
    </row>
    <row r="681" spans="1:10" x14ac:dyDescent="0.3">
      <c r="A681" s="2">
        <v>45777</v>
      </c>
      <c r="B681" t="s">
        <v>5</v>
      </c>
      <c r="C681" t="s">
        <v>8</v>
      </c>
      <c r="D681">
        <v>14652.18</v>
      </c>
      <c r="E681">
        <v>178</v>
      </c>
      <c r="F681">
        <v>47</v>
      </c>
      <c r="G681">
        <v>190657.09</v>
      </c>
      <c r="H681" s="7">
        <f t="shared" si="30"/>
        <v>26.404499999999999</v>
      </c>
      <c r="I681">
        <f t="shared" si="31"/>
        <v>12.0122</v>
      </c>
      <c r="J681" t="str">
        <f t="shared" si="32"/>
        <v>Positive</v>
      </c>
    </row>
    <row r="682" spans="1:10" x14ac:dyDescent="0.3">
      <c r="A682" s="2">
        <v>45771</v>
      </c>
      <c r="B682" t="s">
        <v>12</v>
      </c>
      <c r="C682" t="s">
        <v>11</v>
      </c>
      <c r="D682">
        <v>14520.23</v>
      </c>
      <c r="E682">
        <v>137</v>
      </c>
      <c r="F682">
        <v>25</v>
      </c>
      <c r="G682">
        <v>102898.81</v>
      </c>
      <c r="H682" s="7">
        <f t="shared" si="30"/>
        <v>18.248200000000001</v>
      </c>
      <c r="I682">
        <f t="shared" si="31"/>
        <v>6.0865999999999998</v>
      </c>
      <c r="J682" t="str">
        <f t="shared" si="32"/>
        <v>Positive</v>
      </c>
    </row>
    <row r="683" spans="1:10" x14ac:dyDescent="0.3">
      <c r="A683" s="2">
        <v>45791</v>
      </c>
      <c r="B683" t="s">
        <v>5</v>
      </c>
      <c r="C683" t="s">
        <v>6</v>
      </c>
      <c r="D683">
        <v>13468.35</v>
      </c>
      <c r="E683">
        <v>77</v>
      </c>
      <c r="F683">
        <v>30</v>
      </c>
      <c r="G683">
        <v>162314.72</v>
      </c>
      <c r="H683" s="7">
        <f t="shared" si="30"/>
        <v>38.960999999999999</v>
      </c>
      <c r="I683">
        <f t="shared" si="31"/>
        <v>11.051600000000001</v>
      </c>
      <c r="J683" t="str">
        <f t="shared" si="32"/>
        <v>Positive</v>
      </c>
    </row>
    <row r="684" spans="1:10" x14ac:dyDescent="0.3">
      <c r="A684" s="2">
        <v>45740</v>
      </c>
      <c r="B684" t="s">
        <v>12</v>
      </c>
      <c r="C684" t="s">
        <v>14</v>
      </c>
      <c r="D684">
        <v>3530.3</v>
      </c>
      <c r="E684">
        <v>107</v>
      </c>
      <c r="F684">
        <v>21</v>
      </c>
      <c r="G684">
        <v>108814.9</v>
      </c>
      <c r="H684" s="7">
        <f t="shared" si="30"/>
        <v>19.626200000000001</v>
      </c>
      <c r="I684">
        <f t="shared" si="31"/>
        <v>29.8231</v>
      </c>
      <c r="J684" t="str">
        <f t="shared" si="32"/>
        <v>Positive</v>
      </c>
    </row>
    <row r="685" spans="1:10" x14ac:dyDescent="0.3">
      <c r="A685" s="2">
        <v>45730</v>
      </c>
      <c r="B685" t="s">
        <v>12</v>
      </c>
      <c r="C685" t="s">
        <v>6</v>
      </c>
      <c r="D685">
        <v>6058.8</v>
      </c>
      <c r="E685">
        <v>76</v>
      </c>
      <c r="F685">
        <v>4</v>
      </c>
      <c r="G685">
        <v>18625.11</v>
      </c>
      <c r="H685" s="7">
        <f t="shared" si="30"/>
        <v>5.2632000000000003</v>
      </c>
      <c r="I685">
        <f t="shared" si="31"/>
        <v>2.0741000000000001</v>
      </c>
      <c r="J685" t="str">
        <f t="shared" si="32"/>
        <v>Positive</v>
      </c>
    </row>
    <row r="686" spans="1:10" x14ac:dyDescent="0.3">
      <c r="A686" s="2">
        <v>45810</v>
      </c>
      <c r="B686" t="s">
        <v>5</v>
      </c>
      <c r="C686" t="s">
        <v>8</v>
      </c>
      <c r="D686">
        <v>1763.36</v>
      </c>
      <c r="E686">
        <v>37</v>
      </c>
      <c r="F686">
        <v>13</v>
      </c>
      <c r="G686">
        <v>30586.880000000001</v>
      </c>
      <c r="H686" s="7">
        <f t="shared" si="30"/>
        <v>35.135100000000001</v>
      </c>
      <c r="I686">
        <f t="shared" si="31"/>
        <v>16.345800000000001</v>
      </c>
      <c r="J686" t="str">
        <f t="shared" si="32"/>
        <v>Positive</v>
      </c>
    </row>
    <row r="687" spans="1:10" x14ac:dyDescent="0.3">
      <c r="A687" s="2">
        <v>45707</v>
      </c>
      <c r="B687" t="s">
        <v>12</v>
      </c>
      <c r="C687" t="s">
        <v>6</v>
      </c>
      <c r="D687">
        <v>11302.32</v>
      </c>
      <c r="E687">
        <v>156</v>
      </c>
      <c r="F687">
        <v>14</v>
      </c>
      <c r="G687">
        <v>50885.56</v>
      </c>
      <c r="H687" s="7">
        <f t="shared" si="30"/>
        <v>8.9743999999999993</v>
      </c>
      <c r="I687">
        <f t="shared" si="31"/>
        <v>3.5022000000000002</v>
      </c>
      <c r="J687" t="str">
        <f t="shared" si="32"/>
        <v>Positive</v>
      </c>
    </row>
    <row r="688" spans="1:10" x14ac:dyDescent="0.3">
      <c r="A688" s="2">
        <v>45780</v>
      </c>
      <c r="B688" t="s">
        <v>5</v>
      </c>
      <c r="C688" t="s">
        <v>8</v>
      </c>
      <c r="D688">
        <v>10879.72</v>
      </c>
      <c r="E688">
        <v>20</v>
      </c>
      <c r="F688">
        <v>4</v>
      </c>
      <c r="G688">
        <v>14566.19</v>
      </c>
      <c r="H688" s="7">
        <f t="shared" si="30"/>
        <v>20</v>
      </c>
      <c r="I688">
        <f t="shared" si="31"/>
        <v>0.33879999999999999</v>
      </c>
      <c r="J688" t="str">
        <f t="shared" si="32"/>
        <v>Positive</v>
      </c>
    </row>
    <row r="689" spans="1:10" x14ac:dyDescent="0.3">
      <c r="A689" s="2">
        <v>45721</v>
      </c>
      <c r="B689" t="s">
        <v>7</v>
      </c>
      <c r="C689" t="s">
        <v>14</v>
      </c>
      <c r="D689">
        <v>12592.91</v>
      </c>
      <c r="E689">
        <v>29</v>
      </c>
      <c r="F689">
        <v>11</v>
      </c>
      <c r="G689">
        <v>34461.519999999997</v>
      </c>
      <c r="H689" s="7">
        <f t="shared" si="30"/>
        <v>37.930999999999997</v>
      </c>
      <c r="I689">
        <f t="shared" si="31"/>
        <v>1.7365999999999999</v>
      </c>
      <c r="J689" t="str">
        <f t="shared" si="32"/>
        <v>Positive</v>
      </c>
    </row>
    <row r="690" spans="1:10" x14ac:dyDescent="0.3">
      <c r="A690" s="2">
        <v>45913</v>
      </c>
      <c r="B690" t="s">
        <v>10</v>
      </c>
      <c r="C690" t="s">
        <v>11</v>
      </c>
      <c r="D690">
        <v>4845.87</v>
      </c>
      <c r="E690">
        <v>126</v>
      </c>
      <c r="F690">
        <v>19</v>
      </c>
      <c r="G690">
        <v>69255.47</v>
      </c>
      <c r="H690" s="7">
        <f t="shared" si="30"/>
        <v>15.0794</v>
      </c>
      <c r="I690">
        <f t="shared" si="31"/>
        <v>13.291600000000001</v>
      </c>
      <c r="J690" t="str">
        <f t="shared" si="32"/>
        <v>Positive</v>
      </c>
    </row>
    <row r="691" spans="1:10" x14ac:dyDescent="0.3">
      <c r="A691" s="2">
        <v>45845</v>
      </c>
      <c r="B691" t="s">
        <v>7</v>
      </c>
      <c r="C691" t="s">
        <v>9</v>
      </c>
      <c r="D691">
        <v>3045.16</v>
      </c>
      <c r="E691">
        <v>38</v>
      </c>
      <c r="F691">
        <v>11</v>
      </c>
      <c r="G691">
        <v>31847.91</v>
      </c>
      <c r="H691" s="7">
        <f t="shared" si="30"/>
        <v>28.947399999999998</v>
      </c>
      <c r="I691">
        <f t="shared" si="31"/>
        <v>9.4585000000000008</v>
      </c>
      <c r="J691" t="str">
        <f t="shared" si="32"/>
        <v>Positive</v>
      </c>
    </row>
    <row r="692" spans="1:10" x14ac:dyDescent="0.3">
      <c r="A692" s="2">
        <v>45884</v>
      </c>
      <c r="B692" t="s">
        <v>12</v>
      </c>
      <c r="C692" t="s">
        <v>14</v>
      </c>
      <c r="D692">
        <v>10587.82</v>
      </c>
      <c r="E692">
        <v>99</v>
      </c>
      <c r="F692">
        <v>33</v>
      </c>
      <c r="G692">
        <v>33586.54</v>
      </c>
      <c r="H692" s="7">
        <f t="shared" si="30"/>
        <v>33.333300000000001</v>
      </c>
      <c r="I692">
        <f t="shared" si="31"/>
        <v>2.1722000000000001</v>
      </c>
      <c r="J692" t="str">
        <f t="shared" si="32"/>
        <v>Positive</v>
      </c>
    </row>
    <row r="693" spans="1:10" x14ac:dyDescent="0.3">
      <c r="A693" s="2">
        <v>45749</v>
      </c>
      <c r="B693" t="s">
        <v>7</v>
      </c>
      <c r="C693" t="s">
        <v>11</v>
      </c>
      <c r="D693">
        <v>14924.62</v>
      </c>
      <c r="E693">
        <v>126</v>
      </c>
      <c r="F693">
        <v>8</v>
      </c>
      <c r="G693">
        <v>30946.59</v>
      </c>
      <c r="H693" s="7">
        <f t="shared" si="30"/>
        <v>6.3491999999999997</v>
      </c>
      <c r="I693">
        <f t="shared" si="31"/>
        <v>1.0734999999999999</v>
      </c>
      <c r="J693" t="str">
        <f t="shared" si="32"/>
        <v>Positive</v>
      </c>
    </row>
    <row r="694" spans="1:10" x14ac:dyDescent="0.3">
      <c r="A694" s="2">
        <v>45960</v>
      </c>
      <c r="B694" t="s">
        <v>12</v>
      </c>
      <c r="C694" t="s">
        <v>9</v>
      </c>
      <c r="D694">
        <v>2523.9499999999998</v>
      </c>
      <c r="E694">
        <v>53</v>
      </c>
      <c r="F694">
        <v>17</v>
      </c>
      <c r="G694">
        <v>52478.82</v>
      </c>
      <c r="H694" s="7">
        <f t="shared" si="30"/>
        <v>32.075499999999998</v>
      </c>
      <c r="I694">
        <f t="shared" si="31"/>
        <v>19.792300000000001</v>
      </c>
      <c r="J694" t="str">
        <f t="shared" si="32"/>
        <v>Positive</v>
      </c>
    </row>
    <row r="695" spans="1:10" x14ac:dyDescent="0.3">
      <c r="A695" s="2">
        <v>45741</v>
      </c>
      <c r="B695" t="s">
        <v>13</v>
      </c>
      <c r="C695" t="s">
        <v>11</v>
      </c>
      <c r="D695">
        <v>12678.82</v>
      </c>
      <c r="E695">
        <v>249</v>
      </c>
      <c r="F695">
        <v>30</v>
      </c>
      <c r="G695">
        <v>105074.52</v>
      </c>
      <c r="H695" s="7">
        <f t="shared" si="30"/>
        <v>12.0482</v>
      </c>
      <c r="I695">
        <f t="shared" si="31"/>
        <v>7.2873999999999999</v>
      </c>
      <c r="J695" t="str">
        <f t="shared" si="32"/>
        <v>Positive</v>
      </c>
    </row>
    <row r="696" spans="1:10" x14ac:dyDescent="0.3">
      <c r="A696" s="2">
        <v>45829</v>
      </c>
      <c r="B696" t="s">
        <v>7</v>
      </c>
      <c r="C696" t="s">
        <v>11</v>
      </c>
      <c r="D696">
        <v>1735.75</v>
      </c>
      <c r="E696">
        <v>75</v>
      </c>
      <c r="F696">
        <v>16</v>
      </c>
      <c r="G696">
        <v>57872.22</v>
      </c>
      <c r="H696" s="7">
        <f t="shared" si="30"/>
        <v>21.333300000000001</v>
      </c>
      <c r="I696">
        <f t="shared" si="31"/>
        <v>32.341299999999997</v>
      </c>
      <c r="J696" t="str">
        <f t="shared" si="32"/>
        <v>Positive</v>
      </c>
    </row>
    <row r="697" spans="1:10" x14ac:dyDescent="0.3">
      <c r="A697" s="2">
        <v>45669</v>
      </c>
      <c r="B697" t="s">
        <v>12</v>
      </c>
      <c r="C697" t="s">
        <v>11</v>
      </c>
      <c r="D697">
        <v>5159.2700000000004</v>
      </c>
      <c r="E697">
        <v>237</v>
      </c>
      <c r="F697">
        <v>8</v>
      </c>
      <c r="G697">
        <v>43616.05</v>
      </c>
      <c r="H697" s="7">
        <f t="shared" si="30"/>
        <v>3.3755000000000002</v>
      </c>
      <c r="I697">
        <f t="shared" si="31"/>
        <v>7.4539</v>
      </c>
      <c r="J697" t="str">
        <f t="shared" si="32"/>
        <v>Positive</v>
      </c>
    </row>
    <row r="698" spans="1:10" x14ac:dyDescent="0.3">
      <c r="A698" s="2">
        <v>45710</v>
      </c>
      <c r="B698" t="s">
        <v>10</v>
      </c>
      <c r="C698" t="s">
        <v>9</v>
      </c>
      <c r="D698">
        <v>3936.94</v>
      </c>
      <c r="E698">
        <v>86</v>
      </c>
      <c r="F698">
        <v>34</v>
      </c>
      <c r="G698">
        <v>148117.57999999999</v>
      </c>
      <c r="H698" s="7">
        <f t="shared" si="30"/>
        <v>39.5349</v>
      </c>
      <c r="I698">
        <f t="shared" si="31"/>
        <v>36.622500000000002</v>
      </c>
      <c r="J698" t="str">
        <f t="shared" si="32"/>
        <v>Positive</v>
      </c>
    </row>
    <row r="699" spans="1:10" x14ac:dyDescent="0.3">
      <c r="A699" s="2">
        <v>45834</v>
      </c>
      <c r="B699" t="s">
        <v>10</v>
      </c>
      <c r="C699" t="s">
        <v>11</v>
      </c>
      <c r="D699">
        <v>14346.93</v>
      </c>
      <c r="E699">
        <v>116</v>
      </c>
      <c r="F699">
        <v>31</v>
      </c>
      <c r="G699">
        <v>34671.15</v>
      </c>
      <c r="H699" s="7">
        <f t="shared" si="30"/>
        <v>26.7241</v>
      </c>
      <c r="I699">
        <f t="shared" si="31"/>
        <v>1.4166000000000001</v>
      </c>
      <c r="J699" t="str">
        <f t="shared" si="32"/>
        <v>Positive</v>
      </c>
    </row>
    <row r="700" spans="1:10" x14ac:dyDescent="0.3">
      <c r="A700" s="2">
        <v>45993</v>
      </c>
      <c r="B700" t="s">
        <v>7</v>
      </c>
      <c r="C700" t="s">
        <v>14</v>
      </c>
      <c r="D700">
        <v>9010.99</v>
      </c>
      <c r="E700">
        <v>120</v>
      </c>
      <c r="F700">
        <v>31</v>
      </c>
      <c r="G700">
        <v>156595.41</v>
      </c>
      <c r="H700" s="7">
        <f t="shared" si="30"/>
        <v>25.833300000000001</v>
      </c>
      <c r="I700">
        <f t="shared" si="31"/>
        <v>16.378299999999999</v>
      </c>
      <c r="J700" t="str">
        <f t="shared" si="32"/>
        <v>Positive</v>
      </c>
    </row>
    <row r="701" spans="1:10" x14ac:dyDescent="0.3">
      <c r="A701" s="2">
        <v>45948</v>
      </c>
      <c r="B701" t="s">
        <v>12</v>
      </c>
      <c r="C701" t="s">
        <v>8</v>
      </c>
      <c r="D701">
        <v>9346.19</v>
      </c>
      <c r="E701">
        <v>50</v>
      </c>
      <c r="F701">
        <v>2</v>
      </c>
      <c r="G701">
        <v>2232.84</v>
      </c>
      <c r="H701" s="7">
        <f t="shared" si="30"/>
        <v>4</v>
      </c>
      <c r="I701">
        <f t="shared" si="31"/>
        <v>-0.7611</v>
      </c>
      <c r="J701" t="str">
        <f t="shared" si="32"/>
        <v>Negative</v>
      </c>
    </row>
    <row r="702" spans="1:10" x14ac:dyDescent="0.3">
      <c r="A702" s="2">
        <v>46007</v>
      </c>
      <c r="B702" t="s">
        <v>5</v>
      </c>
      <c r="C702" t="s">
        <v>14</v>
      </c>
      <c r="D702">
        <v>11204.11</v>
      </c>
      <c r="E702">
        <v>133</v>
      </c>
      <c r="F702">
        <v>12</v>
      </c>
      <c r="G702">
        <v>63978.43</v>
      </c>
      <c r="H702" s="7">
        <f t="shared" si="30"/>
        <v>9.0226000000000006</v>
      </c>
      <c r="I702">
        <f t="shared" si="31"/>
        <v>4.7103000000000002</v>
      </c>
      <c r="J702" t="str">
        <f t="shared" si="32"/>
        <v>Positive</v>
      </c>
    </row>
    <row r="703" spans="1:10" x14ac:dyDescent="0.3">
      <c r="A703" s="2">
        <v>45972</v>
      </c>
      <c r="B703" t="s">
        <v>7</v>
      </c>
      <c r="C703" t="s">
        <v>11</v>
      </c>
      <c r="D703">
        <v>2923</v>
      </c>
      <c r="E703">
        <v>103</v>
      </c>
      <c r="F703">
        <v>33</v>
      </c>
      <c r="G703">
        <v>105504.93</v>
      </c>
      <c r="H703" s="7">
        <f t="shared" si="30"/>
        <v>32.038800000000002</v>
      </c>
      <c r="I703">
        <f t="shared" si="31"/>
        <v>35.094700000000003</v>
      </c>
      <c r="J703" t="str">
        <f t="shared" si="32"/>
        <v>Positive</v>
      </c>
    </row>
    <row r="704" spans="1:10" x14ac:dyDescent="0.3">
      <c r="A704" s="2">
        <v>45795</v>
      </c>
      <c r="B704" t="s">
        <v>5</v>
      </c>
      <c r="C704" t="s">
        <v>8</v>
      </c>
      <c r="D704">
        <v>12256.25</v>
      </c>
      <c r="E704">
        <v>190</v>
      </c>
      <c r="F704">
        <v>23</v>
      </c>
      <c r="G704">
        <v>47944.26</v>
      </c>
      <c r="H704" s="7">
        <f t="shared" si="30"/>
        <v>12.1053</v>
      </c>
      <c r="I704">
        <f t="shared" si="31"/>
        <v>2.9117999999999999</v>
      </c>
      <c r="J704" t="str">
        <f t="shared" si="32"/>
        <v>Positive</v>
      </c>
    </row>
    <row r="705" spans="1:10" x14ac:dyDescent="0.3">
      <c r="A705" s="2">
        <v>45958</v>
      </c>
      <c r="B705" t="s">
        <v>12</v>
      </c>
      <c r="C705" t="s">
        <v>6</v>
      </c>
      <c r="D705">
        <v>9777.8700000000008</v>
      </c>
      <c r="E705">
        <v>247</v>
      </c>
      <c r="F705">
        <v>28</v>
      </c>
      <c r="G705">
        <v>115120.88</v>
      </c>
      <c r="H705" s="7">
        <f t="shared" si="30"/>
        <v>11.336</v>
      </c>
      <c r="I705">
        <f t="shared" si="31"/>
        <v>10.7736</v>
      </c>
      <c r="J705" t="str">
        <f t="shared" si="32"/>
        <v>Positive</v>
      </c>
    </row>
    <row r="706" spans="1:10" x14ac:dyDescent="0.3">
      <c r="A706" s="2">
        <v>46019</v>
      </c>
      <c r="B706" t="s">
        <v>10</v>
      </c>
      <c r="C706" t="s">
        <v>11</v>
      </c>
      <c r="D706">
        <v>14766.77</v>
      </c>
      <c r="E706">
        <v>56</v>
      </c>
      <c r="F706">
        <v>6</v>
      </c>
      <c r="G706">
        <v>33267.22</v>
      </c>
      <c r="H706" s="7">
        <f t="shared" ref="H706:H769" si="33">ROUND((F706/E706)*100,4)</f>
        <v>10.7143</v>
      </c>
      <c r="I706">
        <f t="shared" ref="I706:I769" si="34">ROUND(((G706-D706)/D706),4)</f>
        <v>1.2527999999999999</v>
      </c>
      <c r="J706" t="str">
        <f t="shared" si="32"/>
        <v>Positive</v>
      </c>
    </row>
    <row r="707" spans="1:10" x14ac:dyDescent="0.3">
      <c r="A707" s="2">
        <v>45748</v>
      </c>
      <c r="B707" t="s">
        <v>13</v>
      </c>
      <c r="C707" t="s">
        <v>14</v>
      </c>
      <c r="D707">
        <v>4009.05</v>
      </c>
      <c r="E707">
        <v>52</v>
      </c>
      <c r="F707">
        <v>9</v>
      </c>
      <c r="G707">
        <v>35589.660000000003</v>
      </c>
      <c r="H707" s="7">
        <f t="shared" si="33"/>
        <v>17.307700000000001</v>
      </c>
      <c r="I707">
        <f t="shared" si="34"/>
        <v>7.8773</v>
      </c>
      <c r="J707" t="str">
        <f t="shared" ref="J707:J770" si="35">IF(I707&gt;0,"Positive","Negative")</f>
        <v>Positive</v>
      </c>
    </row>
    <row r="708" spans="1:10" x14ac:dyDescent="0.3">
      <c r="A708" s="2">
        <v>45834</v>
      </c>
      <c r="B708" t="s">
        <v>10</v>
      </c>
      <c r="C708" t="s">
        <v>8</v>
      </c>
      <c r="D708">
        <v>7157.03</v>
      </c>
      <c r="E708">
        <v>172</v>
      </c>
      <c r="F708">
        <v>51</v>
      </c>
      <c r="G708">
        <v>219517.6</v>
      </c>
      <c r="H708" s="7">
        <f t="shared" si="33"/>
        <v>29.651199999999999</v>
      </c>
      <c r="I708">
        <f t="shared" si="34"/>
        <v>29.671600000000002</v>
      </c>
      <c r="J708" t="str">
        <f t="shared" si="35"/>
        <v>Positive</v>
      </c>
    </row>
    <row r="709" spans="1:10" x14ac:dyDescent="0.3">
      <c r="A709" s="2">
        <v>45938</v>
      </c>
      <c r="B709" t="s">
        <v>12</v>
      </c>
      <c r="C709" t="s">
        <v>8</v>
      </c>
      <c r="D709">
        <v>12042.5</v>
      </c>
      <c r="E709">
        <v>89</v>
      </c>
      <c r="F709">
        <v>16</v>
      </c>
      <c r="G709">
        <v>72939.39</v>
      </c>
      <c r="H709" s="7">
        <f t="shared" si="33"/>
        <v>17.977499999999999</v>
      </c>
      <c r="I709">
        <f t="shared" si="34"/>
        <v>5.0568</v>
      </c>
      <c r="J709" t="str">
        <f t="shared" si="35"/>
        <v>Positive</v>
      </c>
    </row>
    <row r="710" spans="1:10" x14ac:dyDescent="0.3">
      <c r="A710" s="2">
        <v>45993</v>
      </c>
      <c r="B710" t="s">
        <v>13</v>
      </c>
      <c r="C710" t="s">
        <v>9</v>
      </c>
      <c r="D710">
        <v>13371.46</v>
      </c>
      <c r="E710">
        <v>68</v>
      </c>
      <c r="F710">
        <v>12</v>
      </c>
      <c r="G710">
        <v>51821.1</v>
      </c>
      <c r="H710" s="7">
        <f t="shared" si="33"/>
        <v>17.647099999999998</v>
      </c>
      <c r="I710">
        <f t="shared" si="34"/>
        <v>2.8755000000000002</v>
      </c>
      <c r="J710" t="str">
        <f t="shared" si="35"/>
        <v>Positive</v>
      </c>
    </row>
    <row r="711" spans="1:10" x14ac:dyDescent="0.3">
      <c r="A711" s="2">
        <v>45705</v>
      </c>
      <c r="B711" t="s">
        <v>12</v>
      </c>
      <c r="C711" t="s">
        <v>6</v>
      </c>
      <c r="D711">
        <v>8810.18</v>
      </c>
      <c r="E711">
        <v>61</v>
      </c>
      <c r="F711">
        <v>13</v>
      </c>
      <c r="G711">
        <v>41671.83</v>
      </c>
      <c r="H711" s="7">
        <f t="shared" si="33"/>
        <v>21.311499999999999</v>
      </c>
      <c r="I711">
        <f t="shared" si="34"/>
        <v>3.73</v>
      </c>
      <c r="J711" t="str">
        <f t="shared" si="35"/>
        <v>Positive</v>
      </c>
    </row>
    <row r="712" spans="1:10" x14ac:dyDescent="0.3">
      <c r="A712" s="2">
        <v>45985</v>
      </c>
      <c r="B712" t="s">
        <v>12</v>
      </c>
      <c r="C712" t="s">
        <v>8</v>
      </c>
      <c r="D712">
        <v>13645.33</v>
      </c>
      <c r="E712">
        <v>118</v>
      </c>
      <c r="F712">
        <v>24</v>
      </c>
      <c r="G712">
        <v>25224.59</v>
      </c>
      <c r="H712" s="7">
        <f t="shared" si="33"/>
        <v>20.338999999999999</v>
      </c>
      <c r="I712">
        <f t="shared" si="34"/>
        <v>0.84860000000000002</v>
      </c>
      <c r="J712" t="str">
        <f t="shared" si="35"/>
        <v>Positive</v>
      </c>
    </row>
    <row r="713" spans="1:10" x14ac:dyDescent="0.3">
      <c r="A713" s="2">
        <v>45752</v>
      </c>
      <c r="B713" t="s">
        <v>5</v>
      </c>
      <c r="C713" t="s">
        <v>14</v>
      </c>
      <c r="D713">
        <v>7005.69</v>
      </c>
      <c r="E713">
        <v>217</v>
      </c>
      <c r="F713">
        <v>4</v>
      </c>
      <c r="G713">
        <v>15747.34</v>
      </c>
      <c r="H713" s="7">
        <f t="shared" si="33"/>
        <v>1.8432999999999999</v>
      </c>
      <c r="I713">
        <f t="shared" si="34"/>
        <v>1.2478</v>
      </c>
      <c r="J713" t="str">
        <f t="shared" si="35"/>
        <v>Positive</v>
      </c>
    </row>
    <row r="714" spans="1:10" x14ac:dyDescent="0.3">
      <c r="A714" s="2">
        <v>45725</v>
      </c>
      <c r="B714" t="s">
        <v>5</v>
      </c>
      <c r="C714" t="s">
        <v>8</v>
      </c>
      <c r="D714">
        <v>5047.68</v>
      </c>
      <c r="E714">
        <v>180</v>
      </c>
      <c r="F714">
        <v>62</v>
      </c>
      <c r="G714">
        <v>119693.31</v>
      </c>
      <c r="H714" s="7">
        <f t="shared" si="33"/>
        <v>34.444400000000002</v>
      </c>
      <c r="I714">
        <f t="shared" si="34"/>
        <v>22.712499999999999</v>
      </c>
      <c r="J714" t="str">
        <f t="shared" si="35"/>
        <v>Positive</v>
      </c>
    </row>
    <row r="715" spans="1:10" x14ac:dyDescent="0.3">
      <c r="A715" s="2">
        <v>45735</v>
      </c>
      <c r="B715" t="s">
        <v>7</v>
      </c>
      <c r="C715" t="s">
        <v>11</v>
      </c>
      <c r="D715">
        <v>10805.94</v>
      </c>
      <c r="E715">
        <v>53</v>
      </c>
      <c r="F715">
        <v>8</v>
      </c>
      <c r="G715">
        <v>18630.78</v>
      </c>
      <c r="H715" s="7">
        <f t="shared" si="33"/>
        <v>15.0943</v>
      </c>
      <c r="I715">
        <f t="shared" si="34"/>
        <v>0.72409999999999997</v>
      </c>
      <c r="J715" t="str">
        <f t="shared" si="35"/>
        <v>Positive</v>
      </c>
    </row>
    <row r="716" spans="1:10" x14ac:dyDescent="0.3">
      <c r="A716" s="2">
        <v>46001</v>
      </c>
      <c r="B716" t="s">
        <v>13</v>
      </c>
      <c r="C716" t="s">
        <v>11</v>
      </c>
      <c r="D716">
        <v>8604.59</v>
      </c>
      <c r="E716">
        <v>204</v>
      </c>
      <c r="F716">
        <v>81</v>
      </c>
      <c r="G716">
        <v>266420.87</v>
      </c>
      <c r="H716" s="7">
        <f t="shared" si="33"/>
        <v>39.7059</v>
      </c>
      <c r="I716">
        <f t="shared" si="34"/>
        <v>29.962599999999998</v>
      </c>
      <c r="J716" t="str">
        <f t="shared" si="35"/>
        <v>Positive</v>
      </c>
    </row>
    <row r="717" spans="1:10" x14ac:dyDescent="0.3">
      <c r="A717" s="2">
        <v>45809</v>
      </c>
      <c r="B717" t="s">
        <v>13</v>
      </c>
      <c r="C717" t="s">
        <v>14</v>
      </c>
      <c r="D717">
        <v>14589.32</v>
      </c>
      <c r="E717">
        <v>37</v>
      </c>
      <c r="F717">
        <v>12</v>
      </c>
      <c r="G717">
        <v>48316.19</v>
      </c>
      <c r="H717" s="7">
        <f t="shared" si="33"/>
        <v>32.432400000000001</v>
      </c>
      <c r="I717">
        <f t="shared" si="34"/>
        <v>2.3117999999999999</v>
      </c>
      <c r="J717" t="str">
        <f t="shared" si="35"/>
        <v>Positive</v>
      </c>
    </row>
    <row r="718" spans="1:10" x14ac:dyDescent="0.3">
      <c r="A718" s="2">
        <v>45910</v>
      </c>
      <c r="B718" t="s">
        <v>5</v>
      </c>
      <c r="C718" t="s">
        <v>9</v>
      </c>
      <c r="D718">
        <v>5325.34</v>
      </c>
      <c r="E718">
        <v>194</v>
      </c>
      <c r="F718">
        <v>46</v>
      </c>
      <c r="G718">
        <v>227327.07</v>
      </c>
      <c r="H718" s="7">
        <f t="shared" si="33"/>
        <v>23.711300000000001</v>
      </c>
      <c r="I718">
        <f t="shared" si="34"/>
        <v>41.687800000000003</v>
      </c>
      <c r="J718" t="str">
        <f t="shared" si="35"/>
        <v>Positive</v>
      </c>
    </row>
    <row r="719" spans="1:10" x14ac:dyDescent="0.3">
      <c r="A719" s="2">
        <v>46015</v>
      </c>
      <c r="B719" t="s">
        <v>13</v>
      </c>
      <c r="C719" t="s">
        <v>6</v>
      </c>
      <c r="D719">
        <v>5349.95</v>
      </c>
      <c r="E719">
        <v>246</v>
      </c>
      <c r="F719">
        <v>32</v>
      </c>
      <c r="G719">
        <v>36450.86</v>
      </c>
      <c r="H719" s="7">
        <f t="shared" si="33"/>
        <v>13.008100000000001</v>
      </c>
      <c r="I719">
        <f t="shared" si="34"/>
        <v>5.8132999999999999</v>
      </c>
      <c r="J719" t="str">
        <f t="shared" si="35"/>
        <v>Positive</v>
      </c>
    </row>
    <row r="720" spans="1:10" x14ac:dyDescent="0.3">
      <c r="A720" s="2">
        <v>45910</v>
      </c>
      <c r="B720" t="s">
        <v>10</v>
      </c>
      <c r="C720" t="s">
        <v>11</v>
      </c>
      <c r="D720">
        <v>3725.19</v>
      </c>
      <c r="E720">
        <v>175</v>
      </c>
      <c r="F720">
        <v>26</v>
      </c>
      <c r="G720">
        <v>100257.48</v>
      </c>
      <c r="H720" s="7">
        <f t="shared" si="33"/>
        <v>14.857100000000001</v>
      </c>
      <c r="I720">
        <f t="shared" si="34"/>
        <v>25.913399999999999</v>
      </c>
      <c r="J720" t="str">
        <f t="shared" si="35"/>
        <v>Positive</v>
      </c>
    </row>
    <row r="721" spans="1:10" x14ac:dyDescent="0.3">
      <c r="A721" s="2">
        <v>45844</v>
      </c>
      <c r="B721" t="s">
        <v>12</v>
      </c>
      <c r="C721" t="s">
        <v>9</v>
      </c>
      <c r="D721">
        <v>10765.59</v>
      </c>
      <c r="E721">
        <v>60</v>
      </c>
      <c r="F721">
        <v>4</v>
      </c>
      <c r="G721">
        <v>20901.23</v>
      </c>
      <c r="H721" s="7">
        <f t="shared" si="33"/>
        <v>6.6666999999999996</v>
      </c>
      <c r="I721">
        <f t="shared" si="34"/>
        <v>0.9415</v>
      </c>
      <c r="J721" t="str">
        <f t="shared" si="35"/>
        <v>Positive</v>
      </c>
    </row>
    <row r="722" spans="1:10" x14ac:dyDescent="0.3">
      <c r="A722" s="2">
        <v>45771</v>
      </c>
      <c r="B722" t="s">
        <v>5</v>
      </c>
      <c r="C722" t="s">
        <v>14</v>
      </c>
      <c r="D722">
        <v>11614.37</v>
      </c>
      <c r="E722">
        <v>85</v>
      </c>
      <c r="F722">
        <v>8</v>
      </c>
      <c r="G722">
        <v>43353.58</v>
      </c>
      <c r="H722" s="7">
        <f t="shared" si="33"/>
        <v>9.4117999999999995</v>
      </c>
      <c r="I722">
        <f t="shared" si="34"/>
        <v>2.7328000000000001</v>
      </c>
      <c r="J722" t="str">
        <f t="shared" si="35"/>
        <v>Positive</v>
      </c>
    </row>
    <row r="723" spans="1:10" x14ac:dyDescent="0.3">
      <c r="A723" s="2">
        <v>45865</v>
      </c>
      <c r="B723" t="s">
        <v>13</v>
      </c>
      <c r="C723" t="s">
        <v>14</v>
      </c>
      <c r="D723">
        <v>7300.13</v>
      </c>
      <c r="E723">
        <v>141</v>
      </c>
      <c r="F723">
        <v>15</v>
      </c>
      <c r="G723">
        <v>73091.19</v>
      </c>
      <c r="H723" s="7">
        <f t="shared" si="33"/>
        <v>10.638299999999999</v>
      </c>
      <c r="I723">
        <f t="shared" si="34"/>
        <v>9.0122999999999998</v>
      </c>
      <c r="J723" t="str">
        <f t="shared" si="35"/>
        <v>Positive</v>
      </c>
    </row>
    <row r="724" spans="1:10" x14ac:dyDescent="0.3">
      <c r="A724" s="2">
        <v>45958</v>
      </c>
      <c r="B724" t="s">
        <v>5</v>
      </c>
      <c r="C724" t="s">
        <v>14</v>
      </c>
      <c r="D724">
        <v>9146.84</v>
      </c>
      <c r="E724">
        <v>122</v>
      </c>
      <c r="F724">
        <v>33</v>
      </c>
      <c r="G724">
        <v>86931.83</v>
      </c>
      <c r="H724" s="7">
        <f t="shared" si="33"/>
        <v>27.049199999999999</v>
      </c>
      <c r="I724">
        <f t="shared" si="34"/>
        <v>8.5039999999999996</v>
      </c>
      <c r="J724" t="str">
        <f t="shared" si="35"/>
        <v>Positive</v>
      </c>
    </row>
    <row r="725" spans="1:10" x14ac:dyDescent="0.3">
      <c r="A725" s="2">
        <v>45947</v>
      </c>
      <c r="B725" t="s">
        <v>10</v>
      </c>
      <c r="C725" t="s">
        <v>14</v>
      </c>
      <c r="D725">
        <v>5121.7</v>
      </c>
      <c r="E725">
        <v>51</v>
      </c>
      <c r="F725">
        <v>2</v>
      </c>
      <c r="G725">
        <v>10982.98</v>
      </c>
      <c r="H725" s="7">
        <f t="shared" si="33"/>
        <v>3.9216000000000002</v>
      </c>
      <c r="I725">
        <f t="shared" si="34"/>
        <v>1.1444000000000001</v>
      </c>
      <c r="J725" t="str">
        <f t="shared" si="35"/>
        <v>Positive</v>
      </c>
    </row>
    <row r="726" spans="1:10" x14ac:dyDescent="0.3">
      <c r="A726" s="2">
        <v>45796</v>
      </c>
      <c r="B726" t="s">
        <v>12</v>
      </c>
      <c r="C726" t="s">
        <v>11</v>
      </c>
      <c r="D726">
        <v>11909.28</v>
      </c>
      <c r="E726">
        <v>82</v>
      </c>
      <c r="F726">
        <v>16</v>
      </c>
      <c r="G726">
        <v>65804.05</v>
      </c>
      <c r="H726" s="7">
        <f t="shared" si="33"/>
        <v>19.5122</v>
      </c>
      <c r="I726">
        <f t="shared" si="34"/>
        <v>4.5254000000000003</v>
      </c>
      <c r="J726" t="str">
        <f t="shared" si="35"/>
        <v>Positive</v>
      </c>
    </row>
    <row r="727" spans="1:10" x14ac:dyDescent="0.3">
      <c r="A727" s="2">
        <v>45719</v>
      </c>
      <c r="B727" t="s">
        <v>5</v>
      </c>
      <c r="C727" t="s">
        <v>11</v>
      </c>
      <c r="D727">
        <v>10729.85</v>
      </c>
      <c r="E727">
        <v>43</v>
      </c>
      <c r="F727">
        <v>9</v>
      </c>
      <c r="G727">
        <v>18027.04</v>
      </c>
      <c r="H727" s="7">
        <f t="shared" si="33"/>
        <v>20.930199999999999</v>
      </c>
      <c r="I727">
        <f t="shared" si="34"/>
        <v>0.68010000000000004</v>
      </c>
      <c r="J727" t="str">
        <f t="shared" si="35"/>
        <v>Positive</v>
      </c>
    </row>
    <row r="728" spans="1:10" x14ac:dyDescent="0.3">
      <c r="A728" s="2">
        <v>45880</v>
      </c>
      <c r="B728" t="s">
        <v>5</v>
      </c>
      <c r="C728" t="s">
        <v>8</v>
      </c>
      <c r="D728">
        <v>7356.66</v>
      </c>
      <c r="E728">
        <v>197</v>
      </c>
      <c r="F728">
        <v>6</v>
      </c>
      <c r="G728">
        <v>14690.13</v>
      </c>
      <c r="H728" s="7">
        <f t="shared" si="33"/>
        <v>3.0457000000000001</v>
      </c>
      <c r="I728">
        <f t="shared" si="34"/>
        <v>0.99680000000000002</v>
      </c>
      <c r="J728" t="str">
        <f t="shared" si="35"/>
        <v>Positive</v>
      </c>
    </row>
    <row r="729" spans="1:10" x14ac:dyDescent="0.3">
      <c r="A729" s="2">
        <v>45677</v>
      </c>
      <c r="B729" t="s">
        <v>13</v>
      </c>
      <c r="C729" t="s">
        <v>14</v>
      </c>
      <c r="D729">
        <v>6651.02</v>
      </c>
      <c r="E729">
        <v>99</v>
      </c>
      <c r="F729">
        <v>4</v>
      </c>
      <c r="G729">
        <v>22307.22</v>
      </c>
      <c r="H729" s="7">
        <f t="shared" si="33"/>
        <v>4.0404</v>
      </c>
      <c r="I729">
        <f t="shared" si="34"/>
        <v>2.3540000000000001</v>
      </c>
      <c r="J729" t="str">
        <f t="shared" si="35"/>
        <v>Positive</v>
      </c>
    </row>
    <row r="730" spans="1:10" x14ac:dyDescent="0.3">
      <c r="A730" s="2">
        <v>45906</v>
      </c>
      <c r="B730" t="s">
        <v>10</v>
      </c>
      <c r="C730" t="s">
        <v>14</v>
      </c>
      <c r="D730">
        <v>1899.21</v>
      </c>
      <c r="E730">
        <v>60</v>
      </c>
      <c r="F730">
        <v>12</v>
      </c>
      <c r="G730">
        <v>67970.33</v>
      </c>
      <c r="H730" s="7">
        <f t="shared" si="33"/>
        <v>20</v>
      </c>
      <c r="I730">
        <f t="shared" si="34"/>
        <v>34.788699999999999</v>
      </c>
      <c r="J730" t="str">
        <f t="shared" si="35"/>
        <v>Positive</v>
      </c>
    </row>
    <row r="731" spans="1:10" x14ac:dyDescent="0.3">
      <c r="A731" s="2">
        <v>45743</v>
      </c>
      <c r="B731" t="s">
        <v>12</v>
      </c>
      <c r="C731" t="s">
        <v>14</v>
      </c>
      <c r="D731">
        <v>6563.95</v>
      </c>
      <c r="E731">
        <v>139</v>
      </c>
      <c r="F731">
        <v>25</v>
      </c>
      <c r="G731">
        <v>136508.48000000001</v>
      </c>
      <c r="H731" s="7">
        <f t="shared" si="33"/>
        <v>17.985600000000002</v>
      </c>
      <c r="I731">
        <f t="shared" si="34"/>
        <v>19.796700000000001</v>
      </c>
      <c r="J731" t="str">
        <f t="shared" si="35"/>
        <v>Positive</v>
      </c>
    </row>
    <row r="732" spans="1:10" x14ac:dyDescent="0.3">
      <c r="A732" s="2">
        <v>46016</v>
      </c>
      <c r="B732" t="s">
        <v>7</v>
      </c>
      <c r="C732" t="s">
        <v>14</v>
      </c>
      <c r="D732">
        <v>11232.24</v>
      </c>
      <c r="E732">
        <v>194</v>
      </c>
      <c r="F732">
        <v>48</v>
      </c>
      <c r="G732">
        <v>153674.13</v>
      </c>
      <c r="H732" s="7">
        <f t="shared" si="33"/>
        <v>24.7423</v>
      </c>
      <c r="I732">
        <f t="shared" si="34"/>
        <v>12.6815</v>
      </c>
      <c r="J732" t="str">
        <f t="shared" si="35"/>
        <v>Positive</v>
      </c>
    </row>
    <row r="733" spans="1:10" x14ac:dyDescent="0.3">
      <c r="A733" s="2">
        <v>45691</v>
      </c>
      <c r="B733" t="s">
        <v>13</v>
      </c>
      <c r="C733" t="s">
        <v>14</v>
      </c>
      <c r="D733">
        <v>12734.56</v>
      </c>
      <c r="E733">
        <v>42</v>
      </c>
      <c r="F733">
        <v>12</v>
      </c>
      <c r="G733">
        <v>67235.22</v>
      </c>
      <c r="H733" s="7">
        <f t="shared" si="33"/>
        <v>28.571400000000001</v>
      </c>
      <c r="I733">
        <f t="shared" si="34"/>
        <v>4.2797000000000001</v>
      </c>
      <c r="J733" t="str">
        <f t="shared" si="35"/>
        <v>Positive</v>
      </c>
    </row>
    <row r="734" spans="1:10" x14ac:dyDescent="0.3">
      <c r="A734" s="2">
        <v>45784</v>
      </c>
      <c r="B734" t="s">
        <v>13</v>
      </c>
      <c r="C734" t="s">
        <v>14</v>
      </c>
      <c r="D734">
        <v>13372.04</v>
      </c>
      <c r="E734">
        <v>239</v>
      </c>
      <c r="F734">
        <v>13</v>
      </c>
      <c r="G734">
        <v>55587.01</v>
      </c>
      <c r="H734" s="7">
        <f t="shared" si="33"/>
        <v>5.4393000000000002</v>
      </c>
      <c r="I734">
        <f t="shared" si="34"/>
        <v>3.157</v>
      </c>
      <c r="J734" t="str">
        <f t="shared" si="35"/>
        <v>Positive</v>
      </c>
    </row>
    <row r="735" spans="1:10" x14ac:dyDescent="0.3">
      <c r="A735" s="2">
        <v>45733</v>
      </c>
      <c r="B735" t="s">
        <v>5</v>
      </c>
      <c r="C735" t="s">
        <v>14</v>
      </c>
      <c r="D735">
        <v>3042.65</v>
      </c>
      <c r="E735">
        <v>122</v>
      </c>
      <c r="F735">
        <v>24</v>
      </c>
      <c r="G735">
        <v>74692.33</v>
      </c>
      <c r="H735" s="7">
        <f t="shared" si="33"/>
        <v>19.6721</v>
      </c>
      <c r="I735">
        <f t="shared" si="34"/>
        <v>23.548400000000001</v>
      </c>
      <c r="J735" t="str">
        <f t="shared" si="35"/>
        <v>Positive</v>
      </c>
    </row>
    <row r="736" spans="1:10" x14ac:dyDescent="0.3">
      <c r="A736" s="2">
        <v>45976</v>
      </c>
      <c r="B736" t="s">
        <v>13</v>
      </c>
      <c r="C736" t="s">
        <v>9</v>
      </c>
      <c r="D736">
        <v>3486.52</v>
      </c>
      <c r="E736">
        <v>29</v>
      </c>
      <c r="F736">
        <v>10</v>
      </c>
      <c r="G736">
        <v>10648.5</v>
      </c>
      <c r="H736" s="7">
        <f t="shared" si="33"/>
        <v>34.482799999999997</v>
      </c>
      <c r="I736">
        <f t="shared" si="34"/>
        <v>2.0541999999999998</v>
      </c>
      <c r="J736" t="str">
        <f t="shared" si="35"/>
        <v>Positive</v>
      </c>
    </row>
    <row r="737" spans="1:10" x14ac:dyDescent="0.3">
      <c r="A737" s="2">
        <v>45993</v>
      </c>
      <c r="B737" t="s">
        <v>7</v>
      </c>
      <c r="C737" t="s">
        <v>6</v>
      </c>
      <c r="D737">
        <v>11257.2</v>
      </c>
      <c r="E737">
        <v>43</v>
      </c>
      <c r="F737">
        <v>9</v>
      </c>
      <c r="G737">
        <v>27154.400000000001</v>
      </c>
      <c r="H737" s="7">
        <f t="shared" si="33"/>
        <v>20.930199999999999</v>
      </c>
      <c r="I737">
        <f t="shared" si="34"/>
        <v>1.4121999999999999</v>
      </c>
      <c r="J737" t="str">
        <f t="shared" si="35"/>
        <v>Positive</v>
      </c>
    </row>
    <row r="738" spans="1:10" x14ac:dyDescent="0.3">
      <c r="A738" s="2">
        <v>45864</v>
      </c>
      <c r="B738" t="s">
        <v>12</v>
      </c>
      <c r="C738" t="s">
        <v>9</v>
      </c>
      <c r="D738">
        <v>1105.8399999999999</v>
      </c>
      <c r="E738">
        <v>142</v>
      </c>
      <c r="F738">
        <v>54</v>
      </c>
      <c r="G738">
        <v>122792.86</v>
      </c>
      <c r="H738" s="7">
        <f t="shared" si="33"/>
        <v>38.028199999999998</v>
      </c>
      <c r="I738">
        <f t="shared" si="34"/>
        <v>110.0403</v>
      </c>
      <c r="J738" t="str">
        <f t="shared" si="35"/>
        <v>Positive</v>
      </c>
    </row>
    <row r="739" spans="1:10" x14ac:dyDescent="0.3">
      <c r="A739" s="2">
        <v>45849</v>
      </c>
      <c r="B739" t="s">
        <v>13</v>
      </c>
      <c r="C739" t="s">
        <v>11</v>
      </c>
      <c r="D739">
        <v>11711.03</v>
      </c>
      <c r="E739">
        <v>196</v>
      </c>
      <c r="F739">
        <v>57</v>
      </c>
      <c r="G739">
        <v>303174.18</v>
      </c>
      <c r="H739" s="7">
        <f t="shared" si="33"/>
        <v>29.081600000000002</v>
      </c>
      <c r="I739">
        <f t="shared" si="34"/>
        <v>24.887899999999998</v>
      </c>
      <c r="J739" t="str">
        <f t="shared" si="35"/>
        <v>Positive</v>
      </c>
    </row>
    <row r="740" spans="1:10" x14ac:dyDescent="0.3">
      <c r="A740" s="2">
        <v>45797</v>
      </c>
      <c r="B740" t="s">
        <v>13</v>
      </c>
      <c r="C740" t="s">
        <v>14</v>
      </c>
      <c r="D740">
        <v>14458.65</v>
      </c>
      <c r="E740">
        <v>96</v>
      </c>
      <c r="F740">
        <v>15</v>
      </c>
      <c r="G740">
        <v>38147.160000000003</v>
      </c>
      <c r="H740" s="7">
        <f t="shared" si="33"/>
        <v>15.625</v>
      </c>
      <c r="I740">
        <f t="shared" si="34"/>
        <v>1.6384000000000001</v>
      </c>
      <c r="J740" t="str">
        <f t="shared" si="35"/>
        <v>Positive</v>
      </c>
    </row>
    <row r="741" spans="1:10" x14ac:dyDescent="0.3">
      <c r="A741" s="2">
        <v>45761</v>
      </c>
      <c r="B741" t="s">
        <v>13</v>
      </c>
      <c r="C741" t="s">
        <v>11</v>
      </c>
      <c r="D741">
        <v>14278.12</v>
      </c>
      <c r="E741">
        <v>110</v>
      </c>
      <c r="F741">
        <v>15</v>
      </c>
      <c r="G741">
        <v>62681.56</v>
      </c>
      <c r="H741" s="7">
        <f t="shared" si="33"/>
        <v>13.6364</v>
      </c>
      <c r="I741">
        <f t="shared" si="34"/>
        <v>3.39</v>
      </c>
      <c r="J741" t="str">
        <f t="shared" si="35"/>
        <v>Positive</v>
      </c>
    </row>
    <row r="742" spans="1:10" x14ac:dyDescent="0.3">
      <c r="A742" s="2">
        <v>45932</v>
      </c>
      <c r="B742" t="s">
        <v>13</v>
      </c>
      <c r="C742" t="s">
        <v>8</v>
      </c>
      <c r="D742">
        <v>2984.3</v>
      </c>
      <c r="E742">
        <v>186</v>
      </c>
      <c r="F742">
        <v>30</v>
      </c>
      <c r="G742">
        <v>48717.64</v>
      </c>
      <c r="H742" s="7">
        <f t="shared" si="33"/>
        <v>16.129000000000001</v>
      </c>
      <c r="I742">
        <f t="shared" si="34"/>
        <v>15.3246</v>
      </c>
      <c r="J742" t="str">
        <f t="shared" si="35"/>
        <v>Positive</v>
      </c>
    </row>
    <row r="743" spans="1:10" x14ac:dyDescent="0.3">
      <c r="A743" s="2">
        <v>45843</v>
      </c>
      <c r="B743" t="s">
        <v>12</v>
      </c>
      <c r="C743" t="s">
        <v>14</v>
      </c>
      <c r="D743">
        <v>9743.8799999999992</v>
      </c>
      <c r="E743">
        <v>156</v>
      </c>
      <c r="F743">
        <v>59</v>
      </c>
      <c r="G743">
        <v>108563.69</v>
      </c>
      <c r="H743" s="7">
        <f t="shared" si="33"/>
        <v>37.820500000000003</v>
      </c>
      <c r="I743">
        <f t="shared" si="34"/>
        <v>10.1417</v>
      </c>
      <c r="J743" t="str">
        <f t="shared" si="35"/>
        <v>Positive</v>
      </c>
    </row>
    <row r="744" spans="1:10" x14ac:dyDescent="0.3">
      <c r="A744" s="2">
        <v>45977</v>
      </c>
      <c r="B744" t="s">
        <v>10</v>
      </c>
      <c r="C744" t="s">
        <v>9</v>
      </c>
      <c r="D744">
        <v>1843.62</v>
      </c>
      <c r="E744">
        <v>60</v>
      </c>
      <c r="F744">
        <v>21</v>
      </c>
      <c r="G744">
        <v>108496.24</v>
      </c>
      <c r="H744" s="7">
        <f t="shared" si="33"/>
        <v>35</v>
      </c>
      <c r="I744">
        <f t="shared" si="34"/>
        <v>57.849600000000002</v>
      </c>
      <c r="J744" t="str">
        <f t="shared" si="35"/>
        <v>Positive</v>
      </c>
    </row>
    <row r="745" spans="1:10" x14ac:dyDescent="0.3">
      <c r="A745" s="2">
        <v>45721</v>
      </c>
      <c r="B745" t="s">
        <v>10</v>
      </c>
      <c r="C745" t="s">
        <v>6</v>
      </c>
      <c r="D745">
        <v>4775.54</v>
      </c>
      <c r="E745">
        <v>121</v>
      </c>
      <c r="F745">
        <v>33</v>
      </c>
      <c r="G745">
        <v>92439.63</v>
      </c>
      <c r="H745" s="7">
        <f t="shared" si="33"/>
        <v>27.2727</v>
      </c>
      <c r="I745">
        <f t="shared" si="34"/>
        <v>18.3569</v>
      </c>
      <c r="J745" t="str">
        <f t="shared" si="35"/>
        <v>Positive</v>
      </c>
    </row>
    <row r="746" spans="1:10" x14ac:dyDescent="0.3">
      <c r="A746" s="2">
        <v>45809</v>
      </c>
      <c r="B746" t="s">
        <v>12</v>
      </c>
      <c r="C746" t="s">
        <v>11</v>
      </c>
      <c r="D746">
        <v>4302.66</v>
      </c>
      <c r="E746">
        <v>107</v>
      </c>
      <c r="F746">
        <v>30</v>
      </c>
      <c r="G746">
        <v>176444.58</v>
      </c>
      <c r="H746" s="7">
        <f t="shared" si="33"/>
        <v>28.037400000000002</v>
      </c>
      <c r="I746">
        <f t="shared" si="34"/>
        <v>40.008299999999998</v>
      </c>
      <c r="J746" t="str">
        <f t="shared" si="35"/>
        <v>Positive</v>
      </c>
    </row>
    <row r="747" spans="1:10" x14ac:dyDescent="0.3">
      <c r="A747" s="2">
        <v>45842</v>
      </c>
      <c r="B747" t="s">
        <v>12</v>
      </c>
      <c r="C747" t="s">
        <v>8</v>
      </c>
      <c r="D747">
        <v>4259.93</v>
      </c>
      <c r="E747">
        <v>202</v>
      </c>
      <c r="F747">
        <v>77</v>
      </c>
      <c r="G747">
        <v>343543.83</v>
      </c>
      <c r="H747" s="7">
        <f t="shared" si="33"/>
        <v>38.1188</v>
      </c>
      <c r="I747">
        <f t="shared" si="34"/>
        <v>79.645399999999995</v>
      </c>
      <c r="J747" t="str">
        <f t="shared" si="35"/>
        <v>Positive</v>
      </c>
    </row>
    <row r="748" spans="1:10" x14ac:dyDescent="0.3">
      <c r="A748" s="2">
        <v>45881</v>
      </c>
      <c r="B748" t="s">
        <v>5</v>
      </c>
      <c r="C748" t="s">
        <v>6</v>
      </c>
      <c r="D748">
        <v>11062.98</v>
      </c>
      <c r="E748">
        <v>227</v>
      </c>
      <c r="F748">
        <v>62</v>
      </c>
      <c r="G748">
        <v>195812.4</v>
      </c>
      <c r="H748" s="7">
        <f t="shared" si="33"/>
        <v>27.312799999999999</v>
      </c>
      <c r="I748">
        <f t="shared" si="34"/>
        <v>16.6998</v>
      </c>
      <c r="J748" t="str">
        <f t="shared" si="35"/>
        <v>Positive</v>
      </c>
    </row>
    <row r="749" spans="1:10" x14ac:dyDescent="0.3">
      <c r="A749" s="2">
        <v>45818</v>
      </c>
      <c r="B749" t="s">
        <v>12</v>
      </c>
      <c r="C749" t="s">
        <v>6</v>
      </c>
      <c r="D749">
        <v>12874.61</v>
      </c>
      <c r="E749">
        <v>114</v>
      </c>
      <c r="F749">
        <v>30</v>
      </c>
      <c r="G749">
        <v>133695.53</v>
      </c>
      <c r="H749" s="7">
        <f t="shared" si="33"/>
        <v>26.315799999999999</v>
      </c>
      <c r="I749">
        <f t="shared" si="34"/>
        <v>9.3843999999999994</v>
      </c>
      <c r="J749" t="str">
        <f t="shared" si="35"/>
        <v>Positive</v>
      </c>
    </row>
    <row r="750" spans="1:10" x14ac:dyDescent="0.3">
      <c r="A750" s="2">
        <v>45872</v>
      </c>
      <c r="B750" t="s">
        <v>13</v>
      </c>
      <c r="C750" t="s">
        <v>11</v>
      </c>
      <c r="D750">
        <v>14513.66</v>
      </c>
      <c r="E750">
        <v>96</v>
      </c>
      <c r="F750">
        <v>3</v>
      </c>
      <c r="G750">
        <v>7586.5</v>
      </c>
      <c r="H750" s="7">
        <f t="shared" si="33"/>
        <v>3.125</v>
      </c>
      <c r="I750">
        <f t="shared" si="34"/>
        <v>-0.4773</v>
      </c>
      <c r="J750" t="str">
        <f t="shared" si="35"/>
        <v>Negative</v>
      </c>
    </row>
    <row r="751" spans="1:10" x14ac:dyDescent="0.3">
      <c r="A751" s="2">
        <v>45970</v>
      </c>
      <c r="B751" t="s">
        <v>10</v>
      </c>
      <c r="C751" t="s">
        <v>14</v>
      </c>
      <c r="D751">
        <v>13570.49</v>
      </c>
      <c r="E751">
        <v>109</v>
      </c>
      <c r="F751">
        <v>14</v>
      </c>
      <c r="G751">
        <v>24447.87</v>
      </c>
      <c r="H751" s="7">
        <f t="shared" si="33"/>
        <v>12.843999999999999</v>
      </c>
      <c r="I751">
        <f t="shared" si="34"/>
        <v>0.80149999999999999</v>
      </c>
      <c r="J751" t="str">
        <f t="shared" si="35"/>
        <v>Positive</v>
      </c>
    </row>
    <row r="752" spans="1:10" x14ac:dyDescent="0.3">
      <c r="A752" s="2">
        <v>45938</v>
      </c>
      <c r="B752" t="s">
        <v>12</v>
      </c>
      <c r="C752" t="s">
        <v>11</v>
      </c>
      <c r="D752">
        <v>9558.39</v>
      </c>
      <c r="E752">
        <v>95</v>
      </c>
      <c r="F752">
        <v>21</v>
      </c>
      <c r="G752">
        <v>63173.81</v>
      </c>
      <c r="H752" s="7">
        <f t="shared" si="33"/>
        <v>22.1053</v>
      </c>
      <c r="I752">
        <f t="shared" si="34"/>
        <v>5.6093000000000002</v>
      </c>
      <c r="J752" t="str">
        <f t="shared" si="35"/>
        <v>Positive</v>
      </c>
    </row>
    <row r="753" spans="1:10" x14ac:dyDescent="0.3">
      <c r="A753" s="2">
        <v>45979</v>
      </c>
      <c r="B753" t="s">
        <v>10</v>
      </c>
      <c r="C753" t="s">
        <v>8</v>
      </c>
      <c r="D753">
        <v>9231.3799999999992</v>
      </c>
      <c r="E753">
        <v>137</v>
      </c>
      <c r="F753">
        <v>30</v>
      </c>
      <c r="G753">
        <v>128868.85</v>
      </c>
      <c r="H753" s="7">
        <f t="shared" si="33"/>
        <v>21.8978</v>
      </c>
      <c r="I753">
        <f t="shared" si="34"/>
        <v>12.959899999999999</v>
      </c>
      <c r="J753" t="str">
        <f t="shared" si="35"/>
        <v>Positive</v>
      </c>
    </row>
    <row r="754" spans="1:10" x14ac:dyDescent="0.3">
      <c r="A754" s="2">
        <v>45991</v>
      </c>
      <c r="B754" t="s">
        <v>5</v>
      </c>
      <c r="C754" t="s">
        <v>14</v>
      </c>
      <c r="D754">
        <v>8351.2900000000009</v>
      </c>
      <c r="E754">
        <v>26</v>
      </c>
      <c r="F754">
        <v>2</v>
      </c>
      <c r="G754">
        <v>2509.31</v>
      </c>
      <c r="H754" s="7">
        <f t="shared" si="33"/>
        <v>7.6923000000000004</v>
      </c>
      <c r="I754">
        <f t="shared" si="34"/>
        <v>-0.69950000000000001</v>
      </c>
      <c r="J754" t="str">
        <f t="shared" si="35"/>
        <v>Negative</v>
      </c>
    </row>
    <row r="755" spans="1:10" x14ac:dyDescent="0.3">
      <c r="A755" s="2">
        <v>45782</v>
      </c>
      <c r="B755" t="s">
        <v>5</v>
      </c>
      <c r="C755" t="s">
        <v>14</v>
      </c>
      <c r="D755">
        <v>8379.0499999999993</v>
      </c>
      <c r="E755">
        <v>113</v>
      </c>
      <c r="F755">
        <v>26</v>
      </c>
      <c r="G755">
        <v>121056.68</v>
      </c>
      <c r="H755" s="7">
        <f t="shared" si="33"/>
        <v>23.008800000000001</v>
      </c>
      <c r="I755">
        <f t="shared" si="34"/>
        <v>13.4475</v>
      </c>
      <c r="J755" t="str">
        <f t="shared" si="35"/>
        <v>Positive</v>
      </c>
    </row>
    <row r="756" spans="1:10" x14ac:dyDescent="0.3">
      <c r="A756" s="2">
        <v>45826</v>
      </c>
      <c r="B756" t="s">
        <v>12</v>
      </c>
      <c r="C756" t="s">
        <v>11</v>
      </c>
      <c r="D756">
        <v>6900.95</v>
      </c>
      <c r="E756">
        <v>68</v>
      </c>
      <c r="F756">
        <v>22</v>
      </c>
      <c r="G756">
        <v>59357.69</v>
      </c>
      <c r="H756" s="7">
        <f t="shared" si="33"/>
        <v>32.352899999999998</v>
      </c>
      <c r="I756">
        <f t="shared" si="34"/>
        <v>7.6013999999999999</v>
      </c>
      <c r="J756" t="str">
        <f t="shared" si="35"/>
        <v>Positive</v>
      </c>
    </row>
    <row r="757" spans="1:10" x14ac:dyDescent="0.3">
      <c r="A757" s="2">
        <v>45676</v>
      </c>
      <c r="B757" t="s">
        <v>10</v>
      </c>
      <c r="C757" t="s">
        <v>14</v>
      </c>
      <c r="D757">
        <v>14993.89</v>
      </c>
      <c r="E757">
        <v>129</v>
      </c>
      <c r="F757">
        <v>13</v>
      </c>
      <c r="G757">
        <v>47619.24</v>
      </c>
      <c r="H757" s="7">
        <f t="shared" si="33"/>
        <v>10.077500000000001</v>
      </c>
      <c r="I757">
        <f t="shared" si="34"/>
        <v>2.1758999999999999</v>
      </c>
      <c r="J757" t="str">
        <f t="shared" si="35"/>
        <v>Positive</v>
      </c>
    </row>
    <row r="758" spans="1:10" x14ac:dyDescent="0.3">
      <c r="A758" s="2">
        <v>45768</v>
      </c>
      <c r="B758" t="s">
        <v>5</v>
      </c>
      <c r="C758" t="s">
        <v>11</v>
      </c>
      <c r="D758">
        <v>14568.95</v>
      </c>
      <c r="E758">
        <v>140</v>
      </c>
      <c r="F758">
        <v>35</v>
      </c>
      <c r="G758">
        <v>55315.91</v>
      </c>
      <c r="H758" s="7">
        <f t="shared" si="33"/>
        <v>25</v>
      </c>
      <c r="I758">
        <f t="shared" si="34"/>
        <v>2.7968000000000002</v>
      </c>
      <c r="J758" t="str">
        <f t="shared" si="35"/>
        <v>Positive</v>
      </c>
    </row>
    <row r="759" spans="1:10" x14ac:dyDescent="0.3">
      <c r="A759" s="2">
        <v>45848</v>
      </c>
      <c r="B759" t="s">
        <v>7</v>
      </c>
      <c r="C759" t="s">
        <v>6</v>
      </c>
      <c r="D759">
        <v>14360.14</v>
      </c>
      <c r="E759">
        <v>170</v>
      </c>
      <c r="F759">
        <v>44</v>
      </c>
      <c r="G759">
        <v>61199.08</v>
      </c>
      <c r="H759" s="7">
        <f t="shared" si="33"/>
        <v>25.882400000000001</v>
      </c>
      <c r="I759">
        <f t="shared" si="34"/>
        <v>3.2616999999999998</v>
      </c>
      <c r="J759" t="str">
        <f t="shared" si="35"/>
        <v>Positive</v>
      </c>
    </row>
    <row r="760" spans="1:10" x14ac:dyDescent="0.3">
      <c r="A760" s="2">
        <v>45850</v>
      </c>
      <c r="B760" t="s">
        <v>7</v>
      </c>
      <c r="C760" t="s">
        <v>9</v>
      </c>
      <c r="D760">
        <v>13399.44</v>
      </c>
      <c r="E760">
        <v>125</v>
      </c>
      <c r="F760">
        <v>44</v>
      </c>
      <c r="G760">
        <v>155880.26</v>
      </c>
      <c r="H760" s="7">
        <f t="shared" si="33"/>
        <v>35.200000000000003</v>
      </c>
      <c r="I760">
        <f t="shared" si="34"/>
        <v>10.6333</v>
      </c>
      <c r="J760" t="str">
        <f t="shared" si="35"/>
        <v>Positive</v>
      </c>
    </row>
    <row r="761" spans="1:10" x14ac:dyDescent="0.3">
      <c r="A761" s="2">
        <v>45906</v>
      </c>
      <c r="B761" t="s">
        <v>7</v>
      </c>
      <c r="C761" t="s">
        <v>9</v>
      </c>
      <c r="D761">
        <v>11002.77</v>
      </c>
      <c r="E761">
        <v>57</v>
      </c>
      <c r="F761">
        <v>6</v>
      </c>
      <c r="G761">
        <v>33039.870000000003</v>
      </c>
      <c r="H761" s="7">
        <f t="shared" si="33"/>
        <v>10.526300000000001</v>
      </c>
      <c r="I761">
        <f t="shared" si="34"/>
        <v>2.0028999999999999</v>
      </c>
      <c r="J761" t="str">
        <f t="shared" si="35"/>
        <v>Positive</v>
      </c>
    </row>
    <row r="762" spans="1:10" x14ac:dyDescent="0.3">
      <c r="A762" s="2">
        <v>45783</v>
      </c>
      <c r="B762" t="s">
        <v>12</v>
      </c>
      <c r="C762" t="s">
        <v>9</v>
      </c>
      <c r="D762">
        <v>10043.49</v>
      </c>
      <c r="E762">
        <v>84</v>
      </c>
      <c r="F762">
        <v>12</v>
      </c>
      <c r="G762">
        <v>49077.36</v>
      </c>
      <c r="H762" s="7">
        <f t="shared" si="33"/>
        <v>14.2857</v>
      </c>
      <c r="I762">
        <f t="shared" si="34"/>
        <v>3.8864999999999998</v>
      </c>
      <c r="J762" t="str">
        <f t="shared" si="35"/>
        <v>Positive</v>
      </c>
    </row>
    <row r="763" spans="1:10" x14ac:dyDescent="0.3">
      <c r="A763" s="2">
        <v>45922</v>
      </c>
      <c r="B763" t="s">
        <v>12</v>
      </c>
      <c r="C763" t="s">
        <v>6</v>
      </c>
      <c r="D763">
        <v>5995.91</v>
      </c>
      <c r="E763">
        <v>216</v>
      </c>
      <c r="F763">
        <v>42</v>
      </c>
      <c r="G763">
        <v>99083.48</v>
      </c>
      <c r="H763" s="7">
        <f t="shared" si="33"/>
        <v>19.444400000000002</v>
      </c>
      <c r="I763">
        <f t="shared" si="34"/>
        <v>15.5252</v>
      </c>
      <c r="J763" t="str">
        <f t="shared" si="35"/>
        <v>Positive</v>
      </c>
    </row>
    <row r="764" spans="1:10" x14ac:dyDescent="0.3">
      <c r="A764" s="2">
        <v>45891</v>
      </c>
      <c r="B764" t="s">
        <v>5</v>
      </c>
      <c r="C764" t="s">
        <v>11</v>
      </c>
      <c r="D764">
        <v>11762.34</v>
      </c>
      <c r="E764">
        <v>58</v>
      </c>
      <c r="F764">
        <v>2</v>
      </c>
      <c r="G764">
        <v>9380.24</v>
      </c>
      <c r="H764" s="7">
        <f t="shared" si="33"/>
        <v>3.4483000000000001</v>
      </c>
      <c r="I764">
        <f t="shared" si="34"/>
        <v>-0.20250000000000001</v>
      </c>
      <c r="J764" t="str">
        <f t="shared" si="35"/>
        <v>Negative</v>
      </c>
    </row>
    <row r="765" spans="1:10" x14ac:dyDescent="0.3">
      <c r="A765" s="2">
        <v>45819</v>
      </c>
      <c r="B765" t="s">
        <v>10</v>
      </c>
      <c r="C765" t="s">
        <v>11</v>
      </c>
      <c r="D765">
        <v>6859.52</v>
      </c>
      <c r="E765">
        <v>67</v>
      </c>
      <c r="F765">
        <v>14</v>
      </c>
      <c r="G765">
        <v>39698.44</v>
      </c>
      <c r="H765" s="7">
        <f t="shared" si="33"/>
        <v>20.895499999999998</v>
      </c>
      <c r="I765">
        <f t="shared" si="34"/>
        <v>4.7873000000000001</v>
      </c>
      <c r="J765" t="str">
        <f t="shared" si="35"/>
        <v>Positive</v>
      </c>
    </row>
    <row r="766" spans="1:10" x14ac:dyDescent="0.3">
      <c r="A766" s="2">
        <v>45755</v>
      </c>
      <c r="B766" t="s">
        <v>5</v>
      </c>
      <c r="C766" t="s">
        <v>9</v>
      </c>
      <c r="D766">
        <v>4297.09</v>
      </c>
      <c r="E766">
        <v>70</v>
      </c>
      <c r="F766">
        <v>21</v>
      </c>
      <c r="G766">
        <v>21169.7</v>
      </c>
      <c r="H766" s="7">
        <f t="shared" si="33"/>
        <v>30</v>
      </c>
      <c r="I766">
        <f t="shared" si="34"/>
        <v>3.9264999999999999</v>
      </c>
      <c r="J766" t="str">
        <f t="shared" si="35"/>
        <v>Positive</v>
      </c>
    </row>
    <row r="767" spans="1:10" x14ac:dyDescent="0.3">
      <c r="A767" s="2">
        <v>45940</v>
      </c>
      <c r="B767" t="s">
        <v>10</v>
      </c>
      <c r="C767" t="s">
        <v>11</v>
      </c>
      <c r="D767">
        <v>11266.26</v>
      </c>
      <c r="E767">
        <v>236</v>
      </c>
      <c r="F767">
        <v>42</v>
      </c>
      <c r="G767">
        <v>182186.9</v>
      </c>
      <c r="H767" s="7">
        <f t="shared" si="33"/>
        <v>17.796600000000002</v>
      </c>
      <c r="I767">
        <f t="shared" si="34"/>
        <v>15.170999999999999</v>
      </c>
      <c r="J767" t="str">
        <f t="shared" si="35"/>
        <v>Positive</v>
      </c>
    </row>
    <row r="768" spans="1:10" x14ac:dyDescent="0.3">
      <c r="A768" s="2">
        <v>45811</v>
      </c>
      <c r="B768" t="s">
        <v>10</v>
      </c>
      <c r="C768" t="s">
        <v>8</v>
      </c>
      <c r="D768">
        <v>8931.8700000000008</v>
      </c>
      <c r="E768">
        <v>101</v>
      </c>
      <c r="F768">
        <v>40</v>
      </c>
      <c r="G768">
        <v>88546.41</v>
      </c>
      <c r="H768" s="7">
        <f t="shared" si="33"/>
        <v>39.603999999999999</v>
      </c>
      <c r="I768">
        <f t="shared" si="34"/>
        <v>8.9135000000000009</v>
      </c>
      <c r="J768" t="str">
        <f t="shared" si="35"/>
        <v>Positive</v>
      </c>
    </row>
    <row r="769" spans="1:10" x14ac:dyDescent="0.3">
      <c r="A769" s="2">
        <v>45669</v>
      </c>
      <c r="B769" t="s">
        <v>13</v>
      </c>
      <c r="C769" t="s">
        <v>14</v>
      </c>
      <c r="D769">
        <v>4274.1899999999996</v>
      </c>
      <c r="E769">
        <v>193</v>
      </c>
      <c r="F769">
        <v>3</v>
      </c>
      <c r="G769">
        <v>9416.6200000000008</v>
      </c>
      <c r="H769" s="7">
        <f t="shared" si="33"/>
        <v>1.5544</v>
      </c>
      <c r="I769">
        <f t="shared" si="34"/>
        <v>1.2031000000000001</v>
      </c>
      <c r="J769" t="str">
        <f t="shared" si="35"/>
        <v>Positive</v>
      </c>
    </row>
    <row r="770" spans="1:10" x14ac:dyDescent="0.3">
      <c r="A770" s="2">
        <v>45994</v>
      </c>
      <c r="B770" t="s">
        <v>10</v>
      </c>
      <c r="C770" t="s">
        <v>11</v>
      </c>
      <c r="D770">
        <v>11494.02</v>
      </c>
      <c r="E770">
        <v>106</v>
      </c>
      <c r="F770">
        <v>29</v>
      </c>
      <c r="G770">
        <v>116861</v>
      </c>
      <c r="H770" s="7">
        <f t="shared" ref="H770:H833" si="36">ROUND((F770/E770)*100,4)</f>
        <v>27.358499999999999</v>
      </c>
      <c r="I770">
        <f t="shared" ref="I770:I833" si="37">ROUND(((G770-D770)/D770),4)</f>
        <v>9.1670999999999996</v>
      </c>
      <c r="J770" t="str">
        <f t="shared" si="35"/>
        <v>Positive</v>
      </c>
    </row>
    <row r="771" spans="1:10" x14ac:dyDescent="0.3">
      <c r="A771" s="2">
        <v>45773</v>
      </c>
      <c r="B771" t="s">
        <v>12</v>
      </c>
      <c r="C771" t="s">
        <v>6</v>
      </c>
      <c r="D771">
        <v>12503.61</v>
      </c>
      <c r="E771">
        <v>227</v>
      </c>
      <c r="F771">
        <v>55</v>
      </c>
      <c r="G771">
        <v>177225.99</v>
      </c>
      <c r="H771" s="7">
        <f t="shared" si="36"/>
        <v>24.229099999999999</v>
      </c>
      <c r="I771">
        <f t="shared" si="37"/>
        <v>13.173999999999999</v>
      </c>
      <c r="J771" t="str">
        <f t="shared" ref="J771:J834" si="38">IF(I771&gt;0,"Positive","Negative")</f>
        <v>Positive</v>
      </c>
    </row>
    <row r="772" spans="1:10" x14ac:dyDescent="0.3">
      <c r="A772" s="2">
        <v>45838</v>
      </c>
      <c r="B772" t="s">
        <v>13</v>
      </c>
      <c r="C772" t="s">
        <v>8</v>
      </c>
      <c r="D772">
        <v>7266.13</v>
      </c>
      <c r="E772">
        <v>99</v>
      </c>
      <c r="F772">
        <v>34</v>
      </c>
      <c r="G772">
        <v>125451.91</v>
      </c>
      <c r="H772" s="7">
        <f t="shared" si="36"/>
        <v>34.343400000000003</v>
      </c>
      <c r="I772">
        <f t="shared" si="37"/>
        <v>16.2653</v>
      </c>
      <c r="J772" t="str">
        <f t="shared" si="38"/>
        <v>Positive</v>
      </c>
    </row>
    <row r="773" spans="1:10" x14ac:dyDescent="0.3">
      <c r="A773" s="2">
        <v>45776</v>
      </c>
      <c r="B773" t="s">
        <v>5</v>
      </c>
      <c r="C773" t="s">
        <v>14</v>
      </c>
      <c r="D773">
        <v>10189.19</v>
      </c>
      <c r="E773">
        <v>184</v>
      </c>
      <c r="F773">
        <v>21</v>
      </c>
      <c r="G773">
        <v>113929.14</v>
      </c>
      <c r="H773" s="7">
        <f t="shared" si="36"/>
        <v>11.413</v>
      </c>
      <c r="I773">
        <f t="shared" si="37"/>
        <v>10.1814</v>
      </c>
      <c r="J773" t="str">
        <f t="shared" si="38"/>
        <v>Positive</v>
      </c>
    </row>
    <row r="774" spans="1:10" x14ac:dyDescent="0.3">
      <c r="A774" s="2">
        <v>45712</v>
      </c>
      <c r="B774" t="s">
        <v>7</v>
      </c>
      <c r="C774" t="s">
        <v>8</v>
      </c>
      <c r="D774">
        <v>13896.8</v>
      </c>
      <c r="E774">
        <v>150</v>
      </c>
      <c r="F774">
        <v>39</v>
      </c>
      <c r="G774">
        <v>105259.91</v>
      </c>
      <c r="H774" s="7">
        <f t="shared" si="36"/>
        <v>26</v>
      </c>
      <c r="I774">
        <f t="shared" si="37"/>
        <v>6.5743999999999998</v>
      </c>
      <c r="J774" t="str">
        <f t="shared" si="38"/>
        <v>Positive</v>
      </c>
    </row>
    <row r="775" spans="1:10" x14ac:dyDescent="0.3">
      <c r="A775" s="2">
        <v>45813</v>
      </c>
      <c r="B775" t="s">
        <v>13</v>
      </c>
      <c r="C775" t="s">
        <v>6</v>
      </c>
      <c r="D775">
        <v>14052.42</v>
      </c>
      <c r="E775">
        <v>173</v>
      </c>
      <c r="F775">
        <v>66</v>
      </c>
      <c r="G775">
        <v>293535.71000000002</v>
      </c>
      <c r="H775" s="7">
        <f t="shared" si="36"/>
        <v>38.150300000000001</v>
      </c>
      <c r="I775">
        <f t="shared" si="37"/>
        <v>19.8886</v>
      </c>
      <c r="J775" t="str">
        <f t="shared" si="38"/>
        <v>Positive</v>
      </c>
    </row>
    <row r="776" spans="1:10" x14ac:dyDescent="0.3">
      <c r="A776" s="2">
        <v>45722</v>
      </c>
      <c r="B776" t="s">
        <v>10</v>
      </c>
      <c r="C776" t="s">
        <v>11</v>
      </c>
      <c r="D776">
        <v>9743.2999999999993</v>
      </c>
      <c r="E776">
        <v>197</v>
      </c>
      <c r="F776">
        <v>13</v>
      </c>
      <c r="G776">
        <v>14960.95</v>
      </c>
      <c r="H776" s="7">
        <f t="shared" si="36"/>
        <v>6.5990000000000002</v>
      </c>
      <c r="I776">
        <f t="shared" si="37"/>
        <v>0.53549999999999998</v>
      </c>
      <c r="J776" t="str">
        <f t="shared" si="38"/>
        <v>Positive</v>
      </c>
    </row>
    <row r="777" spans="1:10" x14ac:dyDescent="0.3">
      <c r="A777" s="2">
        <v>45733</v>
      </c>
      <c r="B777" t="s">
        <v>7</v>
      </c>
      <c r="C777" t="s">
        <v>8</v>
      </c>
      <c r="D777">
        <v>7093.93</v>
      </c>
      <c r="E777">
        <v>213</v>
      </c>
      <c r="F777">
        <v>83</v>
      </c>
      <c r="G777">
        <v>296879.28000000003</v>
      </c>
      <c r="H777" s="7">
        <f t="shared" si="36"/>
        <v>38.967100000000002</v>
      </c>
      <c r="I777">
        <f t="shared" si="37"/>
        <v>40.849800000000002</v>
      </c>
      <c r="J777" t="str">
        <f t="shared" si="38"/>
        <v>Positive</v>
      </c>
    </row>
    <row r="778" spans="1:10" x14ac:dyDescent="0.3">
      <c r="A778" s="2">
        <v>45966</v>
      </c>
      <c r="B778" t="s">
        <v>12</v>
      </c>
      <c r="C778" t="s">
        <v>11</v>
      </c>
      <c r="D778">
        <v>4558.2700000000004</v>
      </c>
      <c r="E778">
        <v>91</v>
      </c>
      <c r="F778">
        <v>9</v>
      </c>
      <c r="G778">
        <v>15827.79</v>
      </c>
      <c r="H778" s="7">
        <f t="shared" si="36"/>
        <v>9.8901000000000003</v>
      </c>
      <c r="I778">
        <f t="shared" si="37"/>
        <v>2.4723000000000002</v>
      </c>
      <c r="J778" t="str">
        <f t="shared" si="38"/>
        <v>Positive</v>
      </c>
    </row>
    <row r="779" spans="1:10" x14ac:dyDescent="0.3">
      <c r="A779" s="2">
        <v>45689</v>
      </c>
      <c r="B779" t="s">
        <v>12</v>
      </c>
      <c r="C779" t="s">
        <v>6</v>
      </c>
      <c r="D779">
        <v>14470.03</v>
      </c>
      <c r="E779">
        <v>218</v>
      </c>
      <c r="F779">
        <v>60</v>
      </c>
      <c r="G779">
        <v>339736.51</v>
      </c>
      <c r="H779" s="7">
        <f t="shared" si="36"/>
        <v>27.5229</v>
      </c>
      <c r="I779">
        <f t="shared" si="37"/>
        <v>22.4786</v>
      </c>
      <c r="J779" t="str">
        <f t="shared" si="38"/>
        <v>Positive</v>
      </c>
    </row>
    <row r="780" spans="1:10" x14ac:dyDescent="0.3">
      <c r="A780" s="2">
        <v>45906</v>
      </c>
      <c r="B780" t="s">
        <v>10</v>
      </c>
      <c r="C780" t="s">
        <v>11</v>
      </c>
      <c r="D780">
        <v>13381.7</v>
      </c>
      <c r="E780">
        <v>104</v>
      </c>
      <c r="F780">
        <v>31</v>
      </c>
      <c r="G780">
        <v>127165.34</v>
      </c>
      <c r="H780" s="7">
        <f t="shared" si="36"/>
        <v>29.807700000000001</v>
      </c>
      <c r="I780">
        <f t="shared" si="37"/>
        <v>8.5029000000000003</v>
      </c>
      <c r="J780" t="str">
        <f t="shared" si="38"/>
        <v>Positive</v>
      </c>
    </row>
    <row r="781" spans="1:10" x14ac:dyDescent="0.3">
      <c r="A781" s="2">
        <v>45856</v>
      </c>
      <c r="B781" t="s">
        <v>10</v>
      </c>
      <c r="C781" t="s">
        <v>6</v>
      </c>
      <c r="D781">
        <v>3797.62</v>
      </c>
      <c r="E781">
        <v>130</v>
      </c>
      <c r="F781">
        <v>37</v>
      </c>
      <c r="G781">
        <v>44580.05</v>
      </c>
      <c r="H781" s="7">
        <f t="shared" si="36"/>
        <v>28.461500000000001</v>
      </c>
      <c r="I781">
        <f t="shared" si="37"/>
        <v>10.738899999999999</v>
      </c>
      <c r="J781" t="str">
        <f t="shared" si="38"/>
        <v>Positive</v>
      </c>
    </row>
    <row r="782" spans="1:10" x14ac:dyDescent="0.3">
      <c r="A782" s="2">
        <v>45900</v>
      </c>
      <c r="B782" t="s">
        <v>10</v>
      </c>
      <c r="C782" t="s">
        <v>6</v>
      </c>
      <c r="D782">
        <v>6467.49</v>
      </c>
      <c r="E782">
        <v>208</v>
      </c>
      <c r="F782">
        <v>63</v>
      </c>
      <c r="G782">
        <v>110388.08</v>
      </c>
      <c r="H782" s="7">
        <f t="shared" si="36"/>
        <v>30.288499999999999</v>
      </c>
      <c r="I782">
        <f t="shared" si="37"/>
        <v>16.068100000000001</v>
      </c>
      <c r="J782" t="str">
        <f t="shared" si="38"/>
        <v>Positive</v>
      </c>
    </row>
    <row r="783" spans="1:10" x14ac:dyDescent="0.3">
      <c r="A783" s="2">
        <v>45683</v>
      </c>
      <c r="B783" t="s">
        <v>13</v>
      </c>
      <c r="C783" t="s">
        <v>9</v>
      </c>
      <c r="D783">
        <v>7032.13</v>
      </c>
      <c r="E783">
        <v>142</v>
      </c>
      <c r="F783">
        <v>13</v>
      </c>
      <c r="G783">
        <v>53504.76</v>
      </c>
      <c r="H783" s="7">
        <f t="shared" si="36"/>
        <v>9.1548999999999996</v>
      </c>
      <c r="I783">
        <f t="shared" si="37"/>
        <v>6.6086</v>
      </c>
      <c r="J783" t="str">
        <f t="shared" si="38"/>
        <v>Positive</v>
      </c>
    </row>
    <row r="784" spans="1:10" x14ac:dyDescent="0.3">
      <c r="A784" s="2">
        <v>45808</v>
      </c>
      <c r="B784" t="s">
        <v>12</v>
      </c>
      <c r="C784" t="s">
        <v>8</v>
      </c>
      <c r="D784">
        <v>8509.41</v>
      </c>
      <c r="E784">
        <v>187</v>
      </c>
      <c r="F784">
        <v>53</v>
      </c>
      <c r="G784">
        <v>96194.559999999998</v>
      </c>
      <c r="H784" s="7">
        <f t="shared" si="36"/>
        <v>28.342199999999998</v>
      </c>
      <c r="I784">
        <f t="shared" si="37"/>
        <v>10.304500000000001</v>
      </c>
      <c r="J784" t="str">
        <f t="shared" si="38"/>
        <v>Positive</v>
      </c>
    </row>
    <row r="785" spans="1:10" x14ac:dyDescent="0.3">
      <c r="A785" s="2">
        <v>45946</v>
      </c>
      <c r="B785" t="s">
        <v>10</v>
      </c>
      <c r="C785" t="s">
        <v>14</v>
      </c>
      <c r="D785">
        <v>4009.31</v>
      </c>
      <c r="E785">
        <v>107</v>
      </c>
      <c r="F785">
        <v>13</v>
      </c>
      <c r="G785">
        <v>42531.3</v>
      </c>
      <c r="H785" s="7">
        <f t="shared" si="36"/>
        <v>12.1495</v>
      </c>
      <c r="I785">
        <f t="shared" si="37"/>
        <v>9.6081000000000003</v>
      </c>
      <c r="J785" t="str">
        <f t="shared" si="38"/>
        <v>Positive</v>
      </c>
    </row>
    <row r="786" spans="1:10" x14ac:dyDescent="0.3">
      <c r="A786" s="2">
        <v>45974</v>
      </c>
      <c r="B786" t="s">
        <v>13</v>
      </c>
      <c r="C786" t="s">
        <v>8</v>
      </c>
      <c r="D786">
        <v>14060.07</v>
      </c>
      <c r="E786">
        <v>126</v>
      </c>
      <c r="F786">
        <v>16</v>
      </c>
      <c r="G786">
        <v>38892.589999999997</v>
      </c>
      <c r="H786" s="7">
        <f t="shared" si="36"/>
        <v>12.698399999999999</v>
      </c>
      <c r="I786">
        <f t="shared" si="37"/>
        <v>1.7662</v>
      </c>
      <c r="J786" t="str">
        <f t="shared" si="38"/>
        <v>Positive</v>
      </c>
    </row>
    <row r="787" spans="1:10" x14ac:dyDescent="0.3">
      <c r="A787" s="2">
        <v>45800</v>
      </c>
      <c r="B787" t="s">
        <v>12</v>
      </c>
      <c r="C787" t="s">
        <v>11</v>
      </c>
      <c r="D787">
        <v>1772.23</v>
      </c>
      <c r="E787">
        <v>123</v>
      </c>
      <c r="F787">
        <v>6</v>
      </c>
      <c r="G787">
        <v>31423.08</v>
      </c>
      <c r="H787" s="7">
        <f t="shared" si="36"/>
        <v>4.8780000000000001</v>
      </c>
      <c r="I787">
        <f t="shared" si="37"/>
        <v>16.730799999999999</v>
      </c>
      <c r="J787" t="str">
        <f t="shared" si="38"/>
        <v>Positive</v>
      </c>
    </row>
    <row r="788" spans="1:10" x14ac:dyDescent="0.3">
      <c r="A788" s="2">
        <v>45795</v>
      </c>
      <c r="B788" t="s">
        <v>5</v>
      </c>
      <c r="C788" t="s">
        <v>11</v>
      </c>
      <c r="D788">
        <v>2748.25</v>
      </c>
      <c r="E788">
        <v>109</v>
      </c>
      <c r="F788">
        <v>29</v>
      </c>
      <c r="G788">
        <v>75072.2</v>
      </c>
      <c r="H788" s="7">
        <f t="shared" si="36"/>
        <v>26.605499999999999</v>
      </c>
      <c r="I788">
        <f t="shared" si="37"/>
        <v>26.316400000000002</v>
      </c>
      <c r="J788" t="str">
        <f t="shared" si="38"/>
        <v>Positive</v>
      </c>
    </row>
    <row r="789" spans="1:10" x14ac:dyDescent="0.3">
      <c r="A789" s="2">
        <v>45953</v>
      </c>
      <c r="B789" t="s">
        <v>5</v>
      </c>
      <c r="C789" t="s">
        <v>8</v>
      </c>
      <c r="D789">
        <v>7706.69</v>
      </c>
      <c r="E789">
        <v>234</v>
      </c>
      <c r="F789">
        <v>52</v>
      </c>
      <c r="G789">
        <v>71582.039999999994</v>
      </c>
      <c r="H789" s="7">
        <f t="shared" si="36"/>
        <v>22.222200000000001</v>
      </c>
      <c r="I789">
        <f t="shared" si="37"/>
        <v>8.2882999999999996</v>
      </c>
      <c r="J789" t="str">
        <f t="shared" si="38"/>
        <v>Positive</v>
      </c>
    </row>
    <row r="790" spans="1:10" x14ac:dyDescent="0.3">
      <c r="A790" s="2">
        <v>45686</v>
      </c>
      <c r="B790" t="s">
        <v>13</v>
      </c>
      <c r="C790" t="s">
        <v>14</v>
      </c>
      <c r="D790">
        <v>8343.9699999999993</v>
      </c>
      <c r="E790">
        <v>248</v>
      </c>
      <c r="F790">
        <v>39</v>
      </c>
      <c r="G790">
        <v>61846.46</v>
      </c>
      <c r="H790" s="7">
        <f t="shared" si="36"/>
        <v>15.7258</v>
      </c>
      <c r="I790">
        <f t="shared" si="37"/>
        <v>6.4120999999999997</v>
      </c>
      <c r="J790" t="str">
        <f t="shared" si="38"/>
        <v>Positive</v>
      </c>
    </row>
    <row r="791" spans="1:10" x14ac:dyDescent="0.3">
      <c r="A791" s="2">
        <v>45728</v>
      </c>
      <c r="B791" t="s">
        <v>10</v>
      </c>
      <c r="C791" t="s">
        <v>14</v>
      </c>
      <c r="D791">
        <v>12730.07</v>
      </c>
      <c r="E791">
        <v>234</v>
      </c>
      <c r="F791">
        <v>78</v>
      </c>
      <c r="G791">
        <v>339573.75</v>
      </c>
      <c r="H791" s="7">
        <f t="shared" si="36"/>
        <v>33.333300000000001</v>
      </c>
      <c r="I791">
        <f t="shared" si="37"/>
        <v>25.674900000000001</v>
      </c>
      <c r="J791" t="str">
        <f t="shared" si="38"/>
        <v>Positive</v>
      </c>
    </row>
    <row r="792" spans="1:10" x14ac:dyDescent="0.3">
      <c r="A792" s="2">
        <v>45726</v>
      </c>
      <c r="B792" t="s">
        <v>10</v>
      </c>
      <c r="C792" t="s">
        <v>6</v>
      </c>
      <c r="D792">
        <v>6078.69</v>
      </c>
      <c r="E792">
        <v>231</v>
      </c>
      <c r="F792">
        <v>37</v>
      </c>
      <c r="G792">
        <v>134788.84</v>
      </c>
      <c r="H792" s="7">
        <f t="shared" si="36"/>
        <v>16.017299999999999</v>
      </c>
      <c r="I792">
        <f t="shared" si="37"/>
        <v>21.173999999999999</v>
      </c>
      <c r="J792" t="str">
        <f t="shared" si="38"/>
        <v>Positive</v>
      </c>
    </row>
    <row r="793" spans="1:10" x14ac:dyDescent="0.3">
      <c r="A793" s="2">
        <v>45900</v>
      </c>
      <c r="B793" t="s">
        <v>7</v>
      </c>
      <c r="C793" t="s">
        <v>9</v>
      </c>
      <c r="D793">
        <v>8509.31</v>
      </c>
      <c r="E793">
        <v>64</v>
      </c>
      <c r="F793">
        <v>24</v>
      </c>
      <c r="G793">
        <v>29119.43</v>
      </c>
      <c r="H793" s="7">
        <f t="shared" si="36"/>
        <v>37.5</v>
      </c>
      <c r="I793">
        <f t="shared" si="37"/>
        <v>2.4220999999999999</v>
      </c>
      <c r="J793" t="str">
        <f t="shared" si="38"/>
        <v>Positive</v>
      </c>
    </row>
    <row r="794" spans="1:10" x14ac:dyDescent="0.3">
      <c r="A794" s="2">
        <v>45675</v>
      </c>
      <c r="B794" t="s">
        <v>5</v>
      </c>
      <c r="C794" t="s">
        <v>11</v>
      </c>
      <c r="D794">
        <v>14423.13</v>
      </c>
      <c r="E794">
        <v>26</v>
      </c>
      <c r="F794">
        <v>9</v>
      </c>
      <c r="G794">
        <v>39333.42</v>
      </c>
      <c r="H794" s="7">
        <f t="shared" si="36"/>
        <v>34.615400000000001</v>
      </c>
      <c r="I794">
        <f t="shared" si="37"/>
        <v>1.7271000000000001</v>
      </c>
      <c r="J794" t="str">
        <f t="shared" si="38"/>
        <v>Positive</v>
      </c>
    </row>
    <row r="795" spans="1:10" x14ac:dyDescent="0.3">
      <c r="A795" s="2">
        <v>45954</v>
      </c>
      <c r="B795" t="s">
        <v>12</v>
      </c>
      <c r="C795" t="s">
        <v>14</v>
      </c>
      <c r="D795">
        <v>9934.69</v>
      </c>
      <c r="E795">
        <v>202</v>
      </c>
      <c r="F795">
        <v>6</v>
      </c>
      <c r="G795">
        <v>26409.09</v>
      </c>
      <c r="H795" s="7">
        <f t="shared" si="36"/>
        <v>2.9702999999999999</v>
      </c>
      <c r="I795">
        <f t="shared" si="37"/>
        <v>1.6583000000000001</v>
      </c>
      <c r="J795" t="str">
        <f t="shared" si="38"/>
        <v>Positive</v>
      </c>
    </row>
    <row r="796" spans="1:10" x14ac:dyDescent="0.3">
      <c r="A796" s="2">
        <v>46019</v>
      </c>
      <c r="B796" t="s">
        <v>12</v>
      </c>
      <c r="C796" t="s">
        <v>9</v>
      </c>
      <c r="D796">
        <v>14791.16</v>
      </c>
      <c r="E796">
        <v>225</v>
      </c>
      <c r="F796">
        <v>39</v>
      </c>
      <c r="G796">
        <v>152500.34</v>
      </c>
      <c r="H796" s="7">
        <f t="shared" si="36"/>
        <v>17.333300000000001</v>
      </c>
      <c r="I796">
        <f t="shared" si="37"/>
        <v>9.3102</v>
      </c>
      <c r="J796" t="str">
        <f t="shared" si="38"/>
        <v>Positive</v>
      </c>
    </row>
    <row r="797" spans="1:10" x14ac:dyDescent="0.3">
      <c r="A797" s="2">
        <v>45968</v>
      </c>
      <c r="B797" t="s">
        <v>12</v>
      </c>
      <c r="C797" t="s">
        <v>6</v>
      </c>
      <c r="D797">
        <v>12322.56</v>
      </c>
      <c r="E797">
        <v>52</v>
      </c>
      <c r="F797">
        <v>1</v>
      </c>
      <c r="G797">
        <v>4413.54</v>
      </c>
      <c r="H797" s="7">
        <f t="shared" si="36"/>
        <v>1.9231</v>
      </c>
      <c r="I797">
        <f t="shared" si="37"/>
        <v>-0.64180000000000004</v>
      </c>
      <c r="J797" t="str">
        <f t="shared" si="38"/>
        <v>Negative</v>
      </c>
    </row>
    <row r="798" spans="1:10" x14ac:dyDescent="0.3">
      <c r="A798" s="2">
        <v>45662</v>
      </c>
      <c r="B798" t="s">
        <v>10</v>
      </c>
      <c r="C798" t="s">
        <v>6</v>
      </c>
      <c r="D798">
        <v>5737.2</v>
      </c>
      <c r="E798">
        <v>36</v>
      </c>
      <c r="F798">
        <v>5</v>
      </c>
      <c r="G798">
        <v>5217.8100000000004</v>
      </c>
      <c r="H798" s="7">
        <f t="shared" si="36"/>
        <v>13.8889</v>
      </c>
      <c r="I798">
        <f t="shared" si="37"/>
        <v>-9.0499999999999997E-2</v>
      </c>
      <c r="J798" t="str">
        <f t="shared" si="38"/>
        <v>Negative</v>
      </c>
    </row>
    <row r="799" spans="1:10" x14ac:dyDescent="0.3">
      <c r="A799" s="2">
        <v>45841</v>
      </c>
      <c r="B799" t="s">
        <v>7</v>
      </c>
      <c r="C799" t="s">
        <v>14</v>
      </c>
      <c r="D799">
        <v>2462.14</v>
      </c>
      <c r="E799">
        <v>166</v>
      </c>
      <c r="F799">
        <v>41</v>
      </c>
      <c r="G799">
        <v>160061.39000000001</v>
      </c>
      <c r="H799" s="7">
        <f t="shared" si="36"/>
        <v>24.698799999999999</v>
      </c>
      <c r="I799">
        <f t="shared" si="37"/>
        <v>64.009100000000004</v>
      </c>
      <c r="J799" t="str">
        <f t="shared" si="38"/>
        <v>Positive</v>
      </c>
    </row>
    <row r="800" spans="1:10" x14ac:dyDescent="0.3">
      <c r="A800" s="2">
        <v>45715</v>
      </c>
      <c r="B800" t="s">
        <v>12</v>
      </c>
      <c r="C800" t="s">
        <v>9</v>
      </c>
      <c r="D800">
        <v>6466.85</v>
      </c>
      <c r="E800">
        <v>164</v>
      </c>
      <c r="F800">
        <v>9</v>
      </c>
      <c r="G800">
        <v>11939.27</v>
      </c>
      <c r="H800" s="7">
        <f t="shared" si="36"/>
        <v>5.4878</v>
      </c>
      <c r="I800">
        <f t="shared" si="37"/>
        <v>0.84619999999999995</v>
      </c>
      <c r="J800" t="str">
        <f t="shared" si="38"/>
        <v>Positive</v>
      </c>
    </row>
    <row r="801" spans="1:10" x14ac:dyDescent="0.3">
      <c r="A801" s="2">
        <v>45905</v>
      </c>
      <c r="B801" t="s">
        <v>10</v>
      </c>
      <c r="C801" t="s">
        <v>6</v>
      </c>
      <c r="D801">
        <v>14269.76</v>
      </c>
      <c r="E801">
        <v>73</v>
      </c>
      <c r="F801">
        <v>4</v>
      </c>
      <c r="G801">
        <v>11585.55</v>
      </c>
      <c r="H801" s="7">
        <f t="shared" si="36"/>
        <v>5.4794999999999998</v>
      </c>
      <c r="I801">
        <f t="shared" si="37"/>
        <v>-0.18809999999999999</v>
      </c>
      <c r="J801" t="str">
        <f t="shared" si="38"/>
        <v>Negative</v>
      </c>
    </row>
    <row r="802" spans="1:10" x14ac:dyDescent="0.3">
      <c r="A802" s="2">
        <v>45696</v>
      </c>
      <c r="B802" t="s">
        <v>13</v>
      </c>
      <c r="C802" t="s">
        <v>11</v>
      </c>
      <c r="D802">
        <v>8768.06</v>
      </c>
      <c r="E802">
        <v>198</v>
      </c>
      <c r="F802">
        <v>53</v>
      </c>
      <c r="G802">
        <v>296052.67</v>
      </c>
      <c r="H802" s="7">
        <f t="shared" si="36"/>
        <v>26.767700000000001</v>
      </c>
      <c r="I802">
        <f t="shared" si="37"/>
        <v>32.764899999999997</v>
      </c>
      <c r="J802" t="str">
        <f t="shared" si="38"/>
        <v>Positive</v>
      </c>
    </row>
    <row r="803" spans="1:10" x14ac:dyDescent="0.3">
      <c r="A803" s="2">
        <v>45678</v>
      </c>
      <c r="B803" t="s">
        <v>13</v>
      </c>
      <c r="C803" t="s">
        <v>14</v>
      </c>
      <c r="D803">
        <v>2012.81</v>
      </c>
      <c r="E803">
        <v>201</v>
      </c>
      <c r="F803">
        <v>75</v>
      </c>
      <c r="G803">
        <v>271225.65000000002</v>
      </c>
      <c r="H803" s="7">
        <f t="shared" si="36"/>
        <v>37.313400000000001</v>
      </c>
      <c r="I803">
        <f t="shared" si="37"/>
        <v>133.74979999999999</v>
      </c>
      <c r="J803" t="str">
        <f t="shared" si="38"/>
        <v>Positive</v>
      </c>
    </row>
    <row r="804" spans="1:10" x14ac:dyDescent="0.3">
      <c r="A804" s="2">
        <v>45708</v>
      </c>
      <c r="B804" t="s">
        <v>5</v>
      </c>
      <c r="C804" t="s">
        <v>11</v>
      </c>
      <c r="D804">
        <v>6142.33</v>
      </c>
      <c r="E804">
        <v>227</v>
      </c>
      <c r="F804">
        <v>37</v>
      </c>
      <c r="G804">
        <v>166260.18</v>
      </c>
      <c r="H804" s="7">
        <f t="shared" si="36"/>
        <v>16.299600000000002</v>
      </c>
      <c r="I804">
        <f t="shared" si="37"/>
        <v>26.067900000000002</v>
      </c>
      <c r="J804" t="str">
        <f t="shared" si="38"/>
        <v>Positive</v>
      </c>
    </row>
    <row r="805" spans="1:10" x14ac:dyDescent="0.3">
      <c r="A805" s="2">
        <v>45884</v>
      </c>
      <c r="B805" t="s">
        <v>13</v>
      </c>
      <c r="C805" t="s">
        <v>9</v>
      </c>
      <c r="D805">
        <v>9924.74</v>
      </c>
      <c r="E805">
        <v>192</v>
      </c>
      <c r="F805">
        <v>36</v>
      </c>
      <c r="G805">
        <v>191958.17</v>
      </c>
      <c r="H805" s="7">
        <f t="shared" si="36"/>
        <v>18.75</v>
      </c>
      <c r="I805">
        <f t="shared" si="37"/>
        <v>18.3414</v>
      </c>
      <c r="J805" t="str">
        <f t="shared" si="38"/>
        <v>Positive</v>
      </c>
    </row>
    <row r="806" spans="1:10" x14ac:dyDescent="0.3">
      <c r="A806" s="2">
        <v>45957</v>
      </c>
      <c r="B806" t="s">
        <v>12</v>
      </c>
      <c r="C806" t="s">
        <v>11</v>
      </c>
      <c r="D806">
        <v>2009.82</v>
      </c>
      <c r="E806">
        <v>65</v>
      </c>
      <c r="F806">
        <v>2</v>
      </c>
      <c r="G806">
        <v>8900.7000000000007</v>
      </c>
      <c r="H806" s="7">
        <f t="shared" si="36"/>
        <v>3.0769000000000002</v>
      </c>
      <c r="I806">
        <f t="shared" si="37"/>
        <v>3.4285999999999999</v>
      </c>
      <c r="J806" t="str">
        <f t="shared" si="38"/>
        <v>Positive</v>
      </c>
    </row>
    <row r="807" spans="1:10" x14ac:dyDescent="0.3">
      <c r="A807" s="2">
        <v>45786</v>
      </c>
      <c r="B807" t="s">
        <v>10</v>
      </c>
      <c r="C807" t="s">
        <v>11</v>
      </c>
      <c r="D807">
        <v>6592.27</v>
      </c>
      <c r="E807">
        <v>142</v>
      </c>
      <c r="F807">
        <v>3</v>
      </c>
      <c r="G807">
        <v>14593.87</v>
      </c>
      <c r="H807" s="7">
        <f t="shared" si="36"/>
        <v>2.1126999999999998</v>
      </c>
      <c r="I807">
        <f t="shared" si="37"/>
        <v>1.2138</v>
      </c>
      <c r="J807" t="str">
        <f t="shared" si="38"/>
        <v>Positive</v>
      </c>
    </row>
    <row r="808" spans="1:10" x14ac:dyDescent="0.3">
      <c r="A808" s="2">
        <v>45958</v>
      </c>
      <c r="B808" t="s">
        <v>7</v>
      </c>
      <c r="C808" t="s">
        <v>9</v>
      </c>
      <c r="D808">
        <v>7452.92</v>
      </c>
      <c r="E808">
        <v>209</v>
      </c>
      <c r="F808">
        <v>43</v>
      </c>
      <c r="G808">
        <v>54709.04</v>
      </c>
      <c r="H808" s="7">
        <f t="shared" si="36"/>
        <v>20.574200000000001</v>
      </c>
      <c r="I808">
        <f t="shared" si="37"/>
        <v>6.3406000000000002</v>
      </c>
      <c r="J808" t="str">
        <f t="shared" si="38"/>
        <v>Positive</v>
      </c>
    </row>
    <row r="809" spans="1:10" x14ac:dyDescent="0.3">
      <c r="A809" s="2">
        <v>45862</v>
      </c>
      <c r="B809" t="s">
        <v>5</v>
      </c>
      <c r="C809" t="s">
        <v>8</v>
      </c>
      <c r="D809">
        <v>6545.2</v>
      </c>
      <c r="E809">
        <v>61</v>
      </c>
      <c r="F809">
        <v>10</v>
      </c>
      <c r="G809">
        <v>32676.22</v>
      </c>
      <c r="H809" s="7">
        <f t="shared" si="36"/>
        <v>16.3934</v>
      </c>
      <c r="I809">
        <f t="shared" si="37"/>
        <v>3.9923999999999999</v>
      </c>
      <c r="J809" t="str">
        <f t="shared" si="38"/>
        <v>Positive</v>
      </c>
    </row>
    <row r="810" spans="1:10" x14ac:dyDescent="0.3">
      <c r="A810" s="2">
        <v>45912</v>
      </c>
      <c r="B810" t="s">
        <v>13</v>
      </c>
      <c r="C810" t="s">
        <v>9</v>
      </c>
      <c r="D810">
        <v>9240.7000000000007</v>
      </c>
      <c r="E810">
        <v>213</v>
      </c>
      <c r="F810">
        <v>32</v>
      </c>
      <c r="G810">
        <v>58545.66</v>
      </c>
      <c r="H810" s="7">
        <f t="shared" si="36"/>
        <v>15.0235</v>
      </c>
      <c r="I810">
        <f t="shared" si="37"/>
        <v>5.3356000000000003</v>
      </c>
      <c r="J810" t="str">
        <f t="shared" si="38"/>
        <v>Positive</v>
      </c>
    </row>
    <row r="811" spans="1:10" x14ac:dyDescent="0.3">
      <c r="A811" s="2">
        <v>45709</v>
      </c>
      <c r="B811" t="s">
        <v>13</v>
      </c>
      <c r="C811" t="s">
        <v>8</v>
      </c>
      <c r="D811">
        <v>3779.15</v>
      </c>
      <c r="E811">
        <v>136</v>
      </c>
      <c r="F811">
        <v>4</v>
      </c>
      <c r="G811">
        <v>18343.57</v>
      </c>
      <c r="H811" s="7">
        <f t="shared" si="36"/>
        <v>2.9411999999999998</v>
      </c>
      <c r="I811">
        <f t="shared" si="37"/>
        <v>3.8538999999999999</v>
      </c>
      <c r="J811" t="str">
        <f t="shared" si="38"/>
        <v>Positive</v>
      </c>
    </row>
    <row r="812" spans="1:10" x14ac:dyDescent="0.3">
      <c r="A812" s="2">
        <v>45963</v>
      </c>
      <c r="B812" t="s">
        <v>7</v>
      </c>
      <c r="C812" t="s">
        <v>14</v>
      </c>
      <c r="D812">
        <v>7001.88</v>
      </c>
      <c r="E812">
        <v>99</v>
      </c>
      <c r="F812">
        <v>28</v>
      </c>
      <c r="G812">
        <v>155684.06</v>
      </c>
      <c r="H812" s="7">
        <f t="shared" si="36"/>
        <v>28.282800000000002</v>
      </c>
      <c r="I812">
        <f t="shared" si="37"/>
        <v>21.2346</v>
      </c>
      <c r="J812" t="str">
        <f t="shared" si="38"/>
        <v>Positive</v>
      </c>
    </row>
    <row r="813" spans="1:10" x14ac:dyDescent="0.3">
      <c r="A813" s="2">
        <v>45690</v>
      </c>
      <c r="B813" t="s">
        <v>10</v>
      </c>
      <c r="C813" t="s">
        <v>6</v>
      </c>
      <c r="D813">
        <v>10087.370000000001</v>
      </c>
      <c r="E813">
        <v>229</v>
      </c>
      <c r="F813">
        <v>37</v>
      </c>
      <c r="G813">
        <v>128404.11</v>
      </c>
      <c r="H813" s="7">
        <f t="shared" si="36"/>
        <v>16.1572</v>
      </c>
      <c r="I813">
        <f t="shared" si="37"/>
        <v>11.729200000000001</v>
      </c>
      <c r="J813" t="str">
        <f t="shared" si="38"/>
        <v>Positive</v>
      </c>
    </row>
    <row r="814" spans="1:10" x14ac:dyDescent="0.3">
      <c r="A814" s="2">
        <v>45709</v>
      </c>
      <c r="B814" t="s">
        <v>7</v>
      </c>
      <c r="C814" t="s">
        <v>14</v>
      </c>
      <c r="D814">
        <v>11007.43</v>
      </c>
      <c r="E814">
        <v>237</v>
      </c>
      <c r="F814">
        <v>27</v>
      </c>
      <c r="G814">
        <v>58472.26</v>
      </c>
      <c r="H814" s="7">
        <f t="shared" si="36"/>
        <v>11.3924</v>
      </c>
      <c r="I814">
        <f t="shared" si="37"/>
        <v>4.3121</v>
      </c>
      <c r="J814" t="str">
        <f t="shared" si="38"/>
        <v>Positive</v>
      </c>
    </row>
    <row r="815" spans="1:10" x14ac:dyDescent="0.3">
      <c r="A815" s="2">
        <v>45885</v>
      </c>
      <c r="B815" t="s">
        <v>12</v>
      </c>
      <c r="C815" t="s">
        <v>9</v>
      </c>
      <c r="D815">
        <v>13922.86</v>
      </c>
      <c r="E815">
        <v>147</v>
      </c>
      <c r="F815">
        <v>8</v>
      </c>
      <c r="G815">
        <v>20263.97</v>
      </c>
      <c r="H815" s="7">
        <f t="shared" si="36"/>
        <v>5.4421999999999997</v>
      </c>
      <c r="I815">
        <f t="shared" si="37"/>
        <v>0.45540000000000003</v>
      </c>
      <c r="J815" t="str">
        <f t="shared" si="38"/>
        <v>Positive</v>
      </c>
    </row>
    <row r="816" spans="1:10" x14ac:dyDescent="0.3">
      <c r="A816" s="2">
        <v>45775</v>
      </c>
      <c r="B816" t="s">
        <v>12</v>
      </c>
      <c r="C816" t="s">
        <v>14</v>
      </c>
      <c r="D816">
        <v>3530.71</v>
      </c>
      <c r="E816">
        <v>105</v>
      </c>
      <c r="F816">
        <v>29</v>
      </c>
      <c r="G816">
        <v>124157.45</v>
      </c>
      <c r="H816" s="7">
        <f t="shared" si="36"/>
        <v>27.619</v>
      </c>
      <c r="I816">
        <f t="shared" si="37"/>
        <v>34.164999999999999</v>
      </c>
      <c r="J816" t="str">
        <f t="shared" si="38"/>
        <v>Positive</v>
      </c>
    </row>
    <row r="817" spans="1:10" x14ac:dyDescent="0.3">
      <c r="A817" s="2">
        <v>45707</v>
      </c>
      <c r="B817" t="s">
        <v>12</v>
      </c>
      <c r="C817" t="s">
        <v>6</v>
      </c>
      <c r="D817">
        <v>3657.13</v>
      </c>
      <c r="E817">
        <v>61</v>
      </c>
      <c r="F817">
        <v>8</v>
      </c>
      <c r="G817">
        <v>45025.02</v>
      </c>
      <c r="H817" s="7">
        <f t="shared" si="36"/>
        <v>13.114800000000001</v>
      </c>
      <c r="I817">
        <f t="shared" si="37"/>
        <v>11.3116</v>
      </c>
      <c r="J817" t="str">
        <f t="shared" si="38"/>
        <v>Positive</v>
      </c>
    </row>
    <row r="818" spans="1:10" x14ac:dyDescent="0.3">
      <c r="A818" s="2">
        <v>45906</v>
      </c>
      <c r="B818" t="s">
        <v>13</v>
      </c>
      <c r="C818" t="s">
        <v>9</v>
      </c>
      <c r="D818">
        <v>14510.07</v>
      </c>
      <c r="E818">
        <v>236</v>
      </c>
      <c r="F818">
        <v>86</v>
      </c>
      <c r="G818">
        <v>180297.73</v>
      </c>
      <c r="H818" s="7">
        <f t="shared" si="36"/>
        <v>36.4407</v>
      </c>
      <c r="I818">
        <f t="shared" si="37"/>
        <v>11.425700000000001</v>
      </c>
      <c r="J818" t="str">
        <f t="shared" si="38"/>
        <v>Positive</v>
      </c>
    </row>
    <row r="819" spans="1:10" x14ac:dyDescent="0.3">
      <c r="A819" s="2">
        <v>45682</v>
      </c>
      <c r="B819" t="s">
        <v>5</v>
      </c>
      <c r="C819" t="s">
        <v>6</v>
      </c>
      <c r="D819">
        <v>3208.38</v>
      </c>
      <c r="E819">
        <v>209</v>
      </c>
      <c r="F819">
        <v>29</v>
      </c>
      <c r="G819">
        <v>39274.03</v>
      </c>
      <c r="H819" s="7">
        <f t="shared" si="36"/>
        <v>13.8756</v>
      </c>
      <c r="I819">
        <f t="shared" si="37"/>
        <v>11.241099999999999</v>
      </c>
      <c r="J819" t="str">
        <f t="shared" si="38"/>
        <v>Positive</v>
      </c>
    </row>
    <row r="820" spans="1:10" x14ac:dyDescent="0.3">
      <c r="A820" s="2">
        <v>45726</v>
      </c>
      <c r="B820" t="s">
        <v>12</v>
      </c>
      <c r="C820" t="s">
        <v>6</v>
      </c>
      <c r="D820">
        <v>12445.74</v>
      </c>
      <c r="E820">
        <v>99</v>
      </c>
      <c r="F820">
        <v>16</v>
      </c>
      <c r="G820">
        <v>34051.21</v>
      </c>
      <c r="H820" s="7">
        <f t="shared" si="36"/>
        <v>16.1616</v>
      </c>
      <c r="I820">
        <f t="shared" si="37"/>
        <v>1.736</v>
      </c>
      <c r="J820" t="str">
        <f t="shared" si="38"/>
        <v>Positive</v>
      </c>
    </row>
    <row r="821" spans="1:10" x14ac:dyDescent="0.3">
      <c r="A821" s="2">
        <v>45700</v>
      </c>
      <c r="B821" t="s">
        <v>12</v>
      </c>
      <c r="C821" t="s">
        <v>14</v>
      </c>
      <c r="D821">
        <v>8391.36</v>
      </c>
      <c r="E821">
        <v>200</v>
      </c>
      <c r="F821">
        <v>76</v>
      </c>
      <c r="G821">
        <v>332770.12</v>
      </c>
      <c r="H821" s="7">
        <f t="shared" si="36"/>
        <v>38</v>
      </c>
      <c r="I821">
        <f t="shared" si="37"/>
        <v>38.656300000000002</v>
      </c>
      <c r="J821" t="str">
        <f t="shared" si="38"/>
        <v>Positive</v>
      </c>
    </row>
    <row r="822" spans="1:10" x14ac:dyDescent="0.3">
      <c r="A822" s="2">
        <v>45715</v>
      </c>
      <c r="B822" t="s">
        <v>12</v>
      </c>
      <c r="C822" t="s">
        <v>8</v>
      </c>
      <c r="D822">
        <v>5482.12</v>
      </c>
      <c r="E822">
        <v>240</v>
      </c>
      <c r="F822">
        <v>5</v>
      </c>
      <c r="G822">
        <v>25835.55</v>
      </c>
      <c r="H822" s="7">
        <f t="shared" si="36"/>
        <v>2.0832999999999999</v>
      </c>
      <c r="I822">
        <f t="shared" si="37"/>
        <v>3.7126999999999999</v>
      </c>
      <c r="J822" t="str">
        <f t="shared" si="38"/>
        <v>Positive</v>
      </c>
    </row>
    <row r="823" spans="1:10" x14ac:dyDescent="0.3">
      <c r="A823" s="2">
        <v>45901</v>
      </c>
      <c r="B823" t="s">
        <v>12</v>
      </c>
      <c r="C823" t="s">
        <v>9</v>
      </c>
      <c r="D823">
        <v>7437.12</v>
      </c>
      <c r="E823">
        <v>99</v>
      </c>
      <c r="F823">
        <v>32</v>
      </c>
      <c r="G823">
        <v>179019.17</v>
      </c>
      <c r="H823" s="7">
        <f t="shared" si="36"/>
        <v>32.3232</v>
      </c>
      <c r="I823">
        <f t="shared" si="37"/>
        <v>23.071000000000002</v>
      </c>
      <c r="J823" t="str">
        <f t="shared" si="38"/>
        <v>Positive</v>
      </c>
    </row>
    <row r="824" spans="1:10" x14ac:dyDescent="0.3">
      <c r="A824" s="2">
        <v>45669</v>
      </c>
      <c r="B824" t="s">
        <v>12</v>
      </c>
      <c r="C824" t="s">
        <v>9</v>
      </c>
      <c r="D824">
        <v>2071.88</v>
      </c>
      <c r="E824">
        <v>100</v>
      </c>
      <c r="F824">
        <v>32</v>
      </c>
      <c r="G824">
        <v>70478.58</v>
      </c>
      <c r="H824" s="7">
        <f t="shared" si="36"/>
        <v>32</v>
      </c>
      <c r="I824">
        <f t="shared" si="37"/>
        <v>33.0167</v>
      </c>
      <c r="J824" t="str">
        <f t="shared" si="38"/>
        <v>Positive</v>
      </c>
    </row>
    <row r="825" spans="1:10" x14ac:dyDescent="0.3">
      <c r="A825" s="2">
        <v>45740</v>
      </c>
      <c r="B825" t="s">
        <v>10</v>
      </c>
      <c r="C825" t="s">
        <v>11</v>
      </c>
      <c r="D825">
        <v>10785.91</v>
      </c>
      <c r="E825">
        <v>74</v>
      </c>
      <c r="F825">
        <v>19</v>
      </c>
      <c r="G825">
        <v>86950.02</v>
      </c>
      <c r="H825" s="7">
        <f t="shared" si="36"/>
        <v>25.675699999999999</v>
      </c>
      <c r="I825">
        <f t="shared" si="37"/>
        <v>7.0613999999999999</v>
      </c>
      <c r="J825" t="str">
        <f t="shared" si="38"/>
        <v>Positive</v>
      </c>
    </row>
    <row r="826" spans="1:10" x14ac:dyDescent="0.3">
      <c r="A826" s="2">
        <v>45889</v>
      </c>
      <c r="B826" t="s">
        <v>10</v>
      </c>
      <c r="C826" t="s">
        <v>8</v>
      </c>
      <c r="D826">
        <v>14234.85</v>
      </c>
      <c r="E826">
        <v>212</v>
      </c>
      <c r="F826">
        <v>50</v>
      </c>
      <c r="G826">
        <v>151349.73000000001</v>
      </c>
      <c r="H826" s="7">
        <f t="shared" si="36"/>
        <v>23.584900000000001</v>
      </c>
      <c r="I826">
        <f t="shared" si="37"/>
        <v>9.6323000000000008</v>
      </c>
      <c r="J826" t="str">
        <f t="shared" si="38"/>
        <v>Positive</v>
      </c>
    </row>
    <row r="827" spans="1:10" x14ac:dyDescent="0.3">
      <c r="A827" s="2">
        <v>45770</v>
      </c>
      <c r="B827" t="s">
        <v>7</v>
      </c>
      <c r="C827" t="s">
        <v>11</v>
      </c>
      <c r="D827">
        <v>5297.13</v>
      </c>
      <c r="E827">
        <v>248</v>
      </c>
      <c r="F827">
        <v>3</v>
      </c>
      <c r="G827">
        <v>12244.25</v>
      </c>
      <c r="H827" s="7">
        <f t="shared" si="36"/>
        <v>1.2097</v>
      </c>
      <c r="I827">
        <f t="shared" si="37"/>
        <v>1.3115000000000001</v>
      </c>
      <c r="J827" t="str">
        <f t="shared" si="38"/>
        <v>Positive</v>
      </c>
    </row>
    <row r="828" spans="1:10" x14ac:dyDescent="0.3">
      <c r="A828" s="2">
        <v>45678</v>
      </c>
      <c r="B828" t="s">
        <v>12</v>
      </c>
      <c r="C828" t="s">
        <v>11</v>
      </c>
      <c r="D828">
        <v>8697.0300000000007</v>
      </c>
      <c r="E828">
        <v>36</v>
      </c>
      <c r="F828">
        <v>12</v>
      </c>
      <c r="G828">
        <v>13378.39</v>
      </c>
      <c r="H828" s="7">
        <f t="shared" si="36"/>
        <v>33.333300000000001</v>
      </c>
      <c r="I828">
        <f t="shared" si="37"/>
        <v>0.5383</v>
      </c>
      <c r="J828" t="str">
        <f t="shared" si="38"/>
        <v>Positive</v>
      </c>
    </row>
    <row r="829" spans="1:10" x14ac:dyDescent="0.3">
      <c r="A829" s="2">
        <v>45806</v>
      </c>
      <c r="B829" t="s">
        <v>12</v>
      </c>
      <c r="C829" t="s">
        <v>9</v>
      </c>
      <c r="D829">
        <v>13756.54</v>
      </c>
      <c r="E829">
        <v>183</v>
      </c>
      <c r="F829">
        <v>47</v>
      </c>
      <c r="G829">
        <v>140380.66</v>
      </c>
      <c r="H829" s="7">
        <f t="shared" si="36"/>
        <v>25.6831</v>
      </c>
      <c r="I829">
        <f t="shared" si="37"/>
        <v>9.2045999999999992</v>
      </c>
      <c r="J829" t="str">
        <f t="shared" si="38"/>
        <v>Positive</v>
      </c>
    </row>
    <row r="830" spans="1:10" x14ac:dyDescent="0.3">
      <c r="A830" s="2">
        <v>45774</v>
      </c>
      <c r="B830" t="s">
        <v>12</v>
      </c>
      <c r="C830" t="s">
        <v>6</v>
      </c>
      <c r="D830">
        <v>14151.33</v>
      </c>
      <c r="E830">
        <v>123</v>
      </c>
      <c r="F830">
        <v>32</v>
      </c>
      <c r="G830">
        <v>127100.45</v>
      </c>
      <c r="H830" s="7">
        <f t="shared" si="36"/>
        <v>26.016300000000001</v>
      </c>
      <c r="I830">
        <f t="shared" si="37"/>
        <v>7.9814999999999996</v>
      </c>
      <c r="J830" t="str">
        <f t="shared" si="38"/>
        <v>Positive</v>
      </c>
    </row>
    <row r="831" spans="1:10" x14ac:dyDescent="0.3">
      <c r="A831" s="2">
        <v>45716</v>
      </c>
      <c r="B831" t="s">
        <v>12</v>
      </c>
      <c r="C831" t="s">
        <v>9</v>
      </c>
      <c r="D831">
        <v>9802.2000000000007</v>
      </c>
      <c r="E831">
        <v>52</v>
      </c>
      <c r="F831">
        <v>4</v>
      </c>
      <c r="G831">
        <v>15560</v>
      </c>
      <c r="H831" s="7">
        <f t="shared" si="36"/>
        <v>7.6923000000000004</v>
      </c>
      <c r="I831">
        <f t="shared" si="37"/>
        <v>0.58740000000000003</v>
      </c>
      <c r="J831" t="str">
        <f t="shared" si="38"/>
        <v>Positive</v>
      </c>
    </row>
    <row r="832" spans="1:10" x14ac:dyDescent="0.3">
      <c r="A832" s="2">
        <v>46010</v>
      </c>
      <c r="B832" t="s">
        <v>5</v>
      </c>
      <c r="C832" t="s">
        <v>6</v>
      </c>
      <c r="D832">
        <v>9656.73</v>
      </c>
      <c r="E832">
        <v>181</v>
      </c>
      <c r="F832">
        <v>9</v>
      </c>
      <c r="G832">
        <v>52342.86</v>
      </c>
      <c r="H832" s="7">
        <f t="shared" si="36"/>
        <v>4.9724000000000004</v>
      </c>
      <c r="I832">
        <f t="shared" si="37"/>
        <v>4.4203999999999999</v>
      </c>
      <c r="J832" t="str">
        <f t="shared" si="38"/>
        <v>Positive</v>
      </c>
    </row>
    <row r="833" spans="1:10" x14ac:dyDescent="0.3">
      <c r="A833" s="2">
        <v>45800</v>
      </c>
      <c r="B833" t="s">
        <v>10</v>
      </c>
      <c r="C833" t="s">
        <v>8</v>
      </c>
      <c r="D833">
        <v>10499.07</v>
      </c>
      <c r="E833">
        <v>102</v>
      </c>
      <c r="F833">
        <v>17</v>
      </c>
      <c r="G833">
        <v>41870.99</v>
      </c>
      <c r="H833" s="7">
        <f t="shared" si="36"/>
        <v>16.666699999999999</v>
      </c>
      <c r="I833">
        <f t="shared" si="37"/>
        <v>2.9881000000000002</v>
      </c>
      <c r="J833" t="str">
        <f t="shared" si="38"/>
        <v>Positive</v>
      </c>
    </row>
    <row r="834" spans="1:10" x14ac:dyDescent="0.3">
      <c r="A834" s="2">
        <v>45715</v>
      </c>
      <c r="B834" t="s">
        <v>10</v>
      </c>
      <c r="C834" t="s">
        <v>14</v>
      </c>
      <c r="D834">
        <v>6640.14</v>
      </c>
      <c r="E834">
        <v>35</v>
      </c>
      <c r="F834">
        <v>3</v>
      </c>
      <c r="G834">
        <v>11958.11</v>
      </c>
      <c r="H834" s="7">
        <f t="shared" ref="H834:H897" si="39">ROUND((F834/E834)*100,4)</f>
        <v>8.5714000000000006</v>
      </c>
      <c r="I834">
        <f t="shared" ref="I834:I897" si="40">ROUND(((G834-D834)/D834),4)</f>
        <v>0.80089999999999995</v>
      </c>
      <c r="J834" t="str">
        <f t="shared" si="38"/>
        <v>Positive</v>
      </c>
    </row>
    <row r="835" spans="1:10" x14ac:dyDescent="0.3">
      <c r="A835" s="2">
        <v>45936</v>
      </c>
      <c r="B835" t="s">
        <v>12</v>
      </c>
      <c r="C835" t="s">
        <v>8</v>
      </c>
      <c r="D835">
        <v>3752.89</v>
      </c>
      <c r="E835">
        <v>35</v>
      </c>
      <c r="F835">
        <v>6</v>
      </c>
      <c r="G835">
        <v>25227.11</v>
      </c>
      <c r="H835" s="7">
        <f t="shared" si="39"/>
        <v>17.142900000000001</v>
      </c>
      <c r="I835">
        <f t="shared" si="40"/>
        <v>5.7220000000000004</v>
      </c>
      <c r="J835" t="str">
        <f t="shared" ref="J835:J898" si="41">IF(I835&gt;0,"Positive","Negative")</f>
        <v>Positive</v>
      </c>
    </row>
    <row r="836" spans="1:10" x14ac:dyDescent="0.3">
      <c r="A836" s="2">
        <v>45666</v>
      </c>
      <c r="B836" t="s">
        <v>12</v>
      </c>
      <c r="C836" t="s">
        <v>11</v>
      </c>
      <c r="D836">
        <v>6451.02</v>
      </c>
      <c r="E836">
        <v>234</v>
      </c>
      <c r="F836">
        <v>3</v>
      </c>
      <c r="G836">
        <v>15007.12</v>
      </c>
      <c r="H836" s="7">
        <f t="shared" si="39"/>
        <v>1.2821</v>
      </c>
      <c r="I836">
        <f t="shared" si="40"/>
        <v>1.3263</v>
      </c>
      <c r="J836" t="str">
        <f t="shared" si="41"/>
        <v>Positive</v>
      </c>
    </row>
    <row r="837" spans="1:10" x14ac:dyDescent="0.3">
      <c r="A837" s="2">
        <v>45808</v>
      </c>
      <c r="B837" t="s">
        <v>10</v>
      </c>
      <c r="C837" t="s">
        <v>14</v>
      </c>
      <c r="D837">
        <v>10775.04</v>
      </c>
      <c r="E837">
        <v>173</v>
      </c>
      <c r="F837">
        <v>11</v>
      </c>
      <c r="G837">
        <v>30796.65</v>
      </c>
      <c r="H837" s="7">
        <f t="shared" si="39"/>
        <v>6.3583999999999996</v>
      </c>
      <c r="I837">
        <f t="shared" si="40"/>
        <v>1.8581000000000001</v>
      </c>
      <c r="J837" t="str">
        <f t="shared" si="41"/>
        <v>Positive</v>
      </c>
    </row>
    <row r="838" spans="1:10" x14ac:dyDescent="0.3">
      <c r="A838" s="2">
        <v>45935</v>
      </c>
      <c r="B838" t="s">
        <v>7</v>
      </c>
      <c r="C838" t="s">
        <v>8</v>
      </c>
      <c r="D838">
        <v>11618.07</v>
      </c>
      <c r="E838">
        <v>232</v>
      </c>
      <c r="F838">
        <v>37</v>
      </c>
      <c r="G838">
        <v>100106.78</v>
      </c>
      <c r="H838" s="7">
        <f t="shared" si="39"/>
        <v>15.9483</v>
      </c>
      <c r="I838">
        <f t="shared" si="40"/>
        <v>7.6165000000000003</v>
      </c>
      <c r="J838" t="str">
        <f t="shared" si="41"/>
        <v>Positive</v>
      </c>
    </row>
    <row r="839" spans="1:10" x14ac:dyDescent="0.3">
      <c r="A839" s="2">
        <v>45721</v>
      </c>
      <c r="B839" t="s">
        <v>12</v>
      </c>
      <c r="C839" t="s">
        <v>9</v>
      </c>
      <c r="D839">
        <v>9836.2900000000009</v>
      </c>
      <c r="E839">
        <v>58</v>
      </c>
      <c r="F839">
        <v>23</v>
      </c>
      <c r="G839">
        <v>56927.6</v>
      </c>
      <c r="H839" s="7">
        <f t="shared" si="39"/>
        <v>39.655200000000001</v>
      </c>
      <c r="I839">
        <f t="shared" si="40"/>
        <v>4.7874999999999996</v>
      </c>
      <c r="J839" t="str">
        <f t="shared" si="41"/>
        <v>Positive</v>
      </c>
    </row>
    <row r="840" spans="1:10" x14ac:dyDescent="0.3">
      <c r="A840" s="2">
        <v>45990</v>
      </c>
      <c r="B840" t="s">
        <v>10</v>
      </c>
      <c r="C840" t="s">
        <v>6</v>
      </c>
      <c r="D840">
        <v>5189.99</v>
      </c>
      <c r="E840">
        <v>77</v>
      </c>
      <c r="F840">
        <v>22</v>
      </c>
      <c r="G840">
        <v>26830.76</v>
      </c>
      <c r="H840" s="7">
        <f t="shared" si="39"/>
        <v>28.571400000000001</v>
      </c>
      <c r="I840">
        <f t="shared" si="40"/>
        <v>4.1696999999999997</v>
      </c>
      <c r="J840" t="str">
        <f t="shared" si="41"/>
        <v>Positive</v>
      </c>
    </row>
    <row r="841" spans="1:10" x14ac:dyDescent="0.3">
      <c r="A841" s="2">
        <v>45744</v>
      </c>
      <c r="B841" t="s">
        <v>12</v>
      </c>
      <c r="C841" t="s">
        <v>11</v>
      </c>
      <c r="D841">
        <v>6469.87</v>
      </c>
      <c r="E841">
        <v>29</v>
      </c>
      <c r="F841">
        <v>6</v>
      </c>
      <c r="G841">
        <v>33984.21</v>
      </c>
      <c r="H841" s="7">
        <f t="shared" si="39"/>
        <v>20.689699999999998</v>
      </c>
      <c r="I841">
        <f t="shared" si="40"/>
        <v>4.2526999999999999</v>
      </c>
      <c r="J841" t="str">
        <f t="shared" si="41"/>
        <v>Positive</v>
      </c>
    </row>
    <row r="842" spans="1:10" x14ac:dyDescent="0.3">
      <c r="A842" s="2">
        <v>45822</v>
      </c>
      <c r="B842" t="s">
        <v>10</v>
      </c>
      <c r="C842" t="s">
        <v>6</v>
      </c>
      <c r="D842">
        <v>7258.94</v>
      </c>
      <c r="E842">
        <v>138</v>
      </c>
      <c r="F842">
        <v>15</v>
      </c>
      <c r="G842">
        <v>36580.46</v>
      </c>
      <c r="H842" s="7">
        <f t="shared" si="39"/>
        <v>10.8696</v>
      </c>
      <c r="I842">
        <f t="shared" si="40"/>
        <v>4.0393999999999997</v>
      </c>
      <c r="J842" t="str">
        <f t="shared" si="41"/>
        <v>Positive</v>
      </c>
    </row>
    <row r="843" spans="1:10" x14ac:dyDescent="0.3">
      <c r="A843" s="2">
        <v>45814</v>
      </c>
      <c r="B843" t="s">
        <v>10</v>
      </c>
      <c r="C843" t="s">
        <v>14</v>
      </c>
      <c r="D843">
        <v>6421.27</v>
      </c>
      <c r="E843">
        <v>46</v>
      </c>
      <c r="F843">
        <v>15</v>
      </c>
      <c r="G843">
        <v>65643.039999999994</v>
      </c>
      <c r="H843" s="7">
        <f t="shared" si="39"/>
        <v>32.608699999999999</v>
      </c>
      <c r="I843">
        <f t="shared" si="40"/>
        <v>9.2227999999999994</v>
      </c>
      <c r="J843" t="str">
        <f t="shared" si="41"/>
        <v>Positive</v>
      </c>
    </row>
    <row r="844" spans="1:10" x14ac:dyDescent="0.3">
      <c r="A844" s="2">
        <v>45732</v>
      </c>
      <c r="B844" t="s">
        <v>10</v>
      </c>
      <c r="C844" t="s">
        <v>14</v>
      </c>
      <c r="D844">
        <v>13193.88</v>
      </c>
      <c r="E844">
        <v>159</v>
      </c>
      <c r="F844">
        <v>32</v>
      </c>
      <c r="G844">
        <v>103215.07</v>
      </c>
      <c r="H844" s="7">
        <f t="shared" si="39"/>
        <v>20.125800000000002</v>
      </c>
      <c r="I844">
        <f t="shared" si="40"/>
        <v>6.8230000000000004</v>
      </c>
      <c r="J844" t="str">
        <f t="shared" si="41"/>
        <v>Positive</v>
      </c>
    </row>
    <row r="845" spans="1:10" x14ac:dyDescent="0.3">
      <c r="A845" s="2">
        <v>45710</v>
      </c>
      <c r="B845" t="s">
        <v>5</v>
      </c>
      <c r="C845" t="s">
        <v>9</v>
      </c>
      <c r="D845">
        <v>10413.1</v>
      </c>
      <c r="E845">
        <v>208</v>
      </c>
      <c r="F845">
        <v>1</v>
      </c>
      <c r="G845">
        <v>5775.5</v>
      </c>
      <c r="H845" s="7">
        <f t="shared" si="39"/>
        <v>0.48080000000000001</v>
      </c>
      <c r="I845">
        <f t="shared" si="40"/>
        <v>-0.44540000000000002</v>
      </c>
      <c r="J845" t="str">
        <f t="shared" si="41"/>
        <v>Negative</v>
      </c>
    </row>
    <row r="846" spans="1:10" x14ac:dyDescent="0.3">
      <c r="A846" s="2">
        <v>45825</v>
      </c>
      <c r="B846" t="s">
        <v>13</v>
      </c>
      <c r="C846" t="s">
        <v>8</v>
      </c>
      <c r="D846">
        <v>11911.21</v>
      </c>
      <c r="E846">
        <v>236</v>
      </c>
      <c r="F846">
        <v>69</v>
      </c>
      <c r="G846">
        <v>373195.88</v>
      </c>
      <c r="H846" s="7">
        <f t="shared" si="39"/>
        <v>29.237300000000001</v>
      </c>
      <c r="I846">
        <f t="shared" si="40"/>
        <v>30.331499999999998</v>
      </c>
      <c r="J846" t="str">
        <f t="shared" si="41"/>
        <v>Positive</v>
      </c>
    </row>
    <row r="847" spans="1:10" x14ac:dyDescent="0.3">
      <c r="A847" s="2">
        <v>45924</v>
      </c>
      <c r="B847" t="s">
        <v>5</v>
      </c>
      <c r="C847" t="s">
        <v>9</v>
      </c>
      <c r="D847">
        <v>6765.77</v>
      </c>
      <c r="E847">
        <v>105</v>
      </c>
      <c r="F847">
        <v>12</v>
      </c>
      <c r="G847">
        <v>17583.240000000002</v>
      </c>
      <c r="H847" s="7">
        <f t="shared" si="39"/>
        <v>11.428599999999999</v>
      </c>
      <c r="I847">
        <f t="shared" si="40"/>
        <v>1.5989</v>
      </c>
      <c r="J847" t="str">
        <f t="shared" si="41"/>
        <v>Positive</v>
      </c>
    </row>
    <row r="848" spans="1:10" x14ac:dyDescent="0.3">
      <c r="A848" s="2">
        <v>45673</v>
      </c>
      <c r="B848" t="s">
        <v>10</v>
      </c>
      <c r="C848" t="s">
        <v>11</v>
      </c>
      <c r="D848">
        <v>14685</v>
      </c>
      <c r="E848">
        <v>30</v>
      </c>
      <c r="F848">
        <v>12</v>
      </c>
      <c r="G848">
        <v>54786.83</v>
      </c>
      <c r="H848" s="7">
        <f t="shared" si="39"/>
        <v>40</v>
      </c>
      <c r="I848">
        <f t="shared" si="40"/>
        <v>2.7307999999999999</v>
      </c>
      <c r="J848" t="str">
        <f t="shared" si="41"/>
        <v>Positive</v>
      </c>
    </row>
    <row r="849" spans="1:10" x14ac:dyDescent="0.3">
      <c r="A849" s="2">
        <v>45827</v>
      </c>
      <c r="B849" t="s">
        <v>7</v>
      </c>
      <c r="C849" t="s">
        <v>14</v>
      </c>
      <c r="D849">
        <v>9402.73</v>
      </c>
      <c r="E849">
        <v>247</v>
      </c>
      <c r="F849">
        <v>58</v>
      </c>
      <c r="G849">
        <v>64983.15</v>
      </c>
      <c r="H849" s="7">
        <f t="shared" si="39"/>
        <v>23.4818</v>
      </c>
      <c r="I849">
        <f t="shared" si="40"/>
        <v>5.9111000000000002</v>
      </c>
      <c r="J849" t="str">
        <f t="shared" si="41"/>
        <v>Positive</v>
      </c>
    </row>
    <row r="850" spans="1:10" x14ac:dyDescent="0.3">
      <c r="A850" s="2">
        <v>45886</v>
      </c>
      <c r="B850" t="s">
        <v>10</v>
      </c>
      <c r="C850" t="s">
        <v>14</v>
      </c>
      <c r="D850">
        <v>8389.23</v>
      </c>
      <c r="E850">
        <v>163</v>
      </c>
      <c r="F850">
        <v>50</v>
      </c>
      <c r="G850">
        <v>199616.81</v>
      </c>
      <c r="H850" s="7">
        <f t="shared" si="39"/>
        <v>30.674800000000001</v>
      </c>
      <c r="I850">
        <f t="shared" si="40"/>
        <v>22.7944</v>
      </c>
      <c r="J850" t="str">
        <f t="shared" si="41"/>
        <v>Positive</v>
      </c>
    </row>
    <row r="851" spans="1:10" x14ac:dyDescent="0.3">
      <c r="A851" s="2">
        <v>45942</v>
      </c>
      <c r="B851" t="s">
        <v>10</v>
      </c>
      <c r="C851" t="s">
        <v>6</v>
      </c>
      <c r="D851">
        <v>1051.78</v>
      </c>
      <c r="E851">
        <v>125</v>
      </c>
      <c r="F851">
        <v>31</v>
      </c>
      <c r="G851">
        <v>176398.7</v>
      </c>
      <c r="H851" s="7">
        <f t="shared" si="39"/>
        <v>24.8</v>
      </c>
      <c r="I851">
        <f t="shared" si="40"/>
        <v>166.71440000000001</v>
      </c>
      <c r="J851" t="str">
        <f t="shared" si="41"/>
        <v>Positive</v>
      </c>
    </row>
    <row r="852" spans="1:10" x14ac:dyDescent="0.3">
      <c r="A852" s="2">
        <v>45723</v>
      </c>
      <c r="B852" t="s">
        <v>10</v>
      </c>
      <c r="C852" t="s">
        <v>11</v>
      </c>
      <c r="D852">
        <v>11925.14</v>
      </c>
      <c r="E852">
        <v>240</v>
      </c>
      <c r="F852">
        <v>11</v>
      </c>
      <c r="G852">
        <v>63367.54</v>
      </c>
      <c r="H852" s="7">
        <f t="shared" si="39"/>
        <v>4.5833000000000004</v>
      </c>
      <c r="I852">
        <f t="shared" si="40"/>
        <v>4.3137999999999996</v>
      </c>
      <c r="J852" t="str">
        <f t="shared" si="41"/>
        <v>Positive</v>
      </c>
    </row>
    <row r="853" spans="1:10" x14ac:dyDescent="0.3">
      <c r="A853" s="2">
        <v>45920</v>
      </c>
      <c r="B853" t="s">
        <v>5</v>
      </c>
      <c r="C853" t="s">
        <v>6</v>
      </c>
      <c r="D853">
        <v>10293.27</v>
      </c>
      <c r="E853">
        <v>46</v>
      </c>
      <c r="F853">
        <v>3</v>
      </c>
      <c r="G853">
        <v>17825.669999999998</v>
      </c>
      <c r="H853" s="7">
        <f t="shared" si="39"/>
        <v>6.5217000000000001</v>
      </c>
      <c r="I853">
        <f t="shared" si="40"/>
        <v>0.73180000000000001</v>
      </c>
      <c r="J853" t="str">
        <f t="shared" si="41"/>
        <v>Positive</v>
      </c>
    </row>
    <row r="854" spans="1:10" x14ac:dyDescent="0.3">
      <c r="A854" s="2">
        <v>45779</v>
      </c>
      <c r="B854" t="s">
        <v>5</v>
      </c>
      <c r="C854" t="s">
        <v>11</v>
      </c>
      <c r="D854">
        <v>2636.95</v>
      </c>
      <c r="E854">
        <v>102</v>
      </c>
      <c r="F854">
        <v>7</v>
      </c>
      <c r="G854">
        <v>39729.300000000003</v>
      </c>
      <c r="H854" s="7">
        <f t="shared" si="39"/>
        <v>6.8627000000000002</v>
      </c>
      <c r="I854">
        <f t="shared" si="40"/>
        <v>14.0664</v>
      </c>
      <c r="J854" t="str">
        <f t="shared" si="41"/>
        <v>Positive</v>
      </c>
    </row>
    <row r="855" spans="1:10" x14ac:dyDescent="0.3">
      <c r="A855" s="2">
        <v>45728</v>
      </c>
      <c r="B855" t="s">
        <v>12</v>
      </c>
      <c r="C855" t="s">
        <v>6</v>
      </c>
      <c r="D855">
        <v>2428.4299999999998</v>
      </c>
      <c r="E855">
        <v>211</v>
      </c>
      <c r="F855">
        <v>4</v>
      </c>
      <c r="G855">
        <v>11228.24</v>
      </c>
      <c r="H855" s="7">
        <f t="shared" si="39"/>
        <v>1.8956999999999999</v>
      </c>
      <c r="I855">
        <f t="shared" si="40"/>
        <v>3.6236999999999999</v>
      </c>
      <c r="J855" t="str">
        <f t="shared" si="41"/>
        <v>Positive</v>
      </c>
    </row>
    <row r="856" spans="1:10" x14ac:dyDescent="0.3">
      <c r="A856" s="2">
        <v>45923</v>
      </c>
      <c r="B856" t="s">
        <v>7</v>
      </c>
      <c r="C856" t="s">
        <v>9</v>
      </c>
      <c r="D856">
        <v>2897.49</v>
      </c>
      <c r="E856">
        <v>122</v>
      </c>
      <c r="F856">
        <v>24</v>
      </c>
      <c r="G856">
        <v>77717.14</v>
      </c>
      <c r="H856" s="7">
        <f t="shared" si="39"/>
        <v>19.6721</v>
      </c>
      <c r="I856">
        <f t="shared" si="40"/>
        <v>25.822199999999999</v>
      </c>
      <c r="J856" t="str">
        <f t="shared" si="41"/>
        <v>Positive</v>
      </c>
    </row>
    <row r="857" spans="1:10" x14ac:dyDescent="0.3">
      <c r="A857" s="2">
        <v>45773</v>
      </c>
      <c r="B857" t="s">
        <v>7</v>
      </c>
      <c r="C857" t="s">
        <v>9</v>
      </c>
      <c r="D857">
        <v>5882.02</v>
      </c>
      <c r="E857">
        <v>138</v>
      </c>
      <c r="F857">
        <v>19</v>
      </c>
      <c r="G857">
        <v>73231.179999999993</v>
      </c>
      <c r="H857" s="7">
        <f t="shared" si="39"/>
        <v>13.7681</v>
      </c>
      <c r="I857">
        <f t="shared" si="40"/>
        <v>11.45</v>
      </c>
      <c r="J857" t="str">
        <f t="shared" si="41"/>
        <v>Positive</v>
      </c>
    </row>
    <row r="858" spans="1:10" x14ac:dyDescent="0.3">
      <c r="A858" s="2">
        <v>45956</v>
      </c>
      <c r="B858" t="s">
        <v>12</v>
      </c>
      <c r="C858" t="s">
        <v>11</v>
      </c>
      <c r="D858">
        <v>3027.14</v>
      </c>
      <c r="E858">
        <v>33</v>
      </c>
      <c r="F858">
        <v>2</v>
      </c>
      <c r="G858">
        <v>9318.16</v>
      </c>
      <c r="H858" s="7">
        <f t="shared" si="39"/>
        <v>6.0606</v>
      </c>
      <c r="I858">
        <f t="shared" si="40"/>
        <v>2.0781999999999998</v>
      </c>
      <c r="J858" t="str">
        <f t="shared" si="41"/>
        <v>Positive</v>
      </c>
    </row>
    <row r="859" spans="1:10" x14ac:dyDescent="0.3">
      <c r="A859" s="2">
        <v>45909</v>
      </c>
      <c r="B859" t="s">
        <v>13</v>
      </c>
      <c r="C859" t="s">
        <v>8</v>
      </c>
      <c r="D859">
        <v>4765.49</v>
      </c>
      <c r="E859">
        <v>70</v>
      </c>
      <c r="F859">
        <v>23</v>
      </c>
      <c r="G859">
        <v>100699.56</v>
      </c>
      <c r="H859" s="7">
        <f t="shared" si="39"/>
        <v>32.857100000000003</v>
      </c>
      <c r="I859">
        <f t="shared" si="40"/>
        <v>20.131</v>
      </c>
      <c r="J859" t="str">
        <f t="shared" si="41"/>
        <v>Positive</v>
      </c>
    </row>
    <row r="860" spans="1:10" x14ac:dyDescent="0.3">
      <c r="A860" s="2">
        <v>45834</v>
      </c>
      <c r="B860" t="s">
        <v>10</v>
      </c>
      <c r="C860" t="s">
        <v>9</v>
      </c>
      <c r="D860">
        <v>13638.1</v>
      </c>
      <c r="E860">
        <v>161</v>
      </c>
      <c r="F860">
        <v>27</v>
      </c>
      <c r="G860">
        <v>139953.98000000001</v>
      </c>
      <c r="H860" s="7">
        <f t="shared" si="39"/>
        <v>16.770199999999999</v>
      </c>
      <c r="I860">
        <f t="shared" si="40"/>
        <v>9.2620000000000005</v>
      </c>
      <c r="J860" t="str">
        <f t="shared" si="41"/>
        <v>Positive</v>
      </c>
    </row>
    <row r="861" spans="1:10" x14ac:dyDescent="0.3">
      <c r="A861" s="2">
        <v>45822</v>
      </c>
      <c r="B861" t="s">
        <v>5</v>
      </c>
      <c r="C861" t="s">
        <v>6</v>
      </c>
      <c r="D861">
        <v>8563.65</v>
      </c>
      <c r="E861">
        <v>189</v>
      </c>
      <c r="F861">
        <v>8</v>
      </c>
      <c r="G861">
        <v>24055.35</v>
      </c>
      <c r="H861" s="7">
        <f t="shared" si="39"/>
        <v>4.2328000000000001</v>
      </c>
      <c r="I861">
        <f t="shared" si="40"/>
        <v>1.8089999999999999</v>
      </c>
      <c r="J861" t="str">
        <f t="shared" si="41"/>
        <v>Positive</v>
      </c>
    </row>
    <row r="862" spans="1:10" x14ac:dyDescent="0.3">
      <c r="A862" s="2">
        <v>45688</v>
      </c>
      <c r="B862" t="s">
        <v>5</v>
      </c>
      <c r="C862" t="s">
        <v>8</v>
      </c>
      <c r="D862">
        <v>9228.35</v>
      </c>
      <c r="E862">
        <v>114</v>
      </c>
      <c r="F862">
        <v>36</v>
      </c>
      <c r="G862">
        <v>126842.86</v>
      </c>
      <c r="H862" s="7">
        <f t="shared" si="39"/>
        <v>31.578900000000001</v>
      </c>
      <c r="I862">
        <f t="shared" si="40"/>
        <v>12.744899999999999</v>
      </c>
      <c r="J862" t="str">
        <f t="shared" si="41"/>
        <v>Positive</v>
      </c>
    </row>
    <row r="863" spans="1:10" x14ac:dyDescent="0.3">
      <c r="A863" s="2">
        <v>45912</v>
      </c>
      <c r="B863" t="s">
        <v>7</v>
      </c>
      <c r="C863" t="s">
        <v>8</v>
      </c>
      <c r="D863">
        <v>8572.7800000000007</v>
      </c>
      <c r="E863">
        <v>94</v>
      </c>
      <c r="F863">
        <v>20</v>
      </c>
      <c r="G863">
        <v>65161.19</v>
      </c>
      <c r="H863" s="7">
        <f t="shared" si="39"/>
        <v>21.276599999999998</v>
      </c>
      <c r="I863">
        <f t="shared" si="40"/>
        <v>6.6009000000000002</v>
      </c>
      <c r="J863" t="str">
        <f t="shared" si="41"/>
        <v>Positive</v>
      </c>
    </row>
    <row r="864" spans="1:10" x14ac:dyDescent="0.3">
      <c r="A864" s="2">
        <v>45889</v>
      </c>
      <c r="B864" t="s">
        <v>10</v>
      </c>
      <c r="C864" t="s">
        <v>14</v>
      </c>
      <c r="D864">
        <v>3554.06</v>
      </c>
      <c r="E864">
        <v>206</v>
      </c>
      <c r="F864">
        <v>81</v>
      </c>
      <c r="G864">
        <v>427435.6</v>
      </c>
      <c r="H864" s="7">
        <f t="shared" si="39"/>
        <v>39.320399999999999</v>
      </c>
      <c r="I864">
        <f t="shared" si="40"/>
        <v>119.2668</v>
      </c>
      <c r="J864" t="str">
        <f t="shared" si="41"/>
        <v>Positive</v>
      </c>
    </row>
    <row r="865" spans="1:10" x14ac:dyDescent="0.3">
      <c r="A865" s="2">
        <v>45955</v>
      </c>
      <c r="B865" t="s">
        <v>7</v>
      </c>
      <c r="C865" t="s">
        <v>11</v>
      </c>
      <c r="D865">
        <v>14893.76</v>
      </c>
      <c r="E865">
        <v>107</v>
      </c>
      <c r="F865">
        <v>8</v>
      </c>
      <c r="G865">
        <v>45191.96</v>
      </c>
      <c r="H865" s="7">
        <f t="shared" si="39"/>
        <v>7.4766000000000004</v>
      </c>
      <c r="I865">
        <f t="shared" si="40"/>
        <v>2.0343</v>
      </c>
      <c r="J865" t="str">
        <f t="shared" si="41"/>
        <v>Positive</v>
      </c>
    </row>
    <row r="866" spans="1:10" x14ac:dyDescent="0.3">
      <c r="A866" s="2">
        <v>45771</v>
      </c>
      <c r="B866" t="s">
        <v>7</v>
      </c>
      <c r="C866" t="s">
        <v>11</v>
      </c>
      <c r="D866">
        <v>13780.49</v>
      </c>
      <c r="E866">
        <v>117</v>
      </c>
      <c r="F866">
        <v>32</v>
      </c>
      <c r="G866">
        <v>71430.14</v>
      </c>
      <c r="H866" s="7">
        <f t="shared" si="39"/>
        <v>27.3504</v>
      </c>
      <c r="I866">
        <f t="shared" si="40"/>
        <v>4.1833999999999998</v>
      </c>
      <c r="J866" t="str">
        <f t="shared" si="41"/>
        <v>Positive</v>
      </c>
    </row>
    <row r="867" spans="1:10" x14ac:dyDescent="0.3">
      <c r="A867" s="2">
        <v>45984</v>
      </c>
      <c r="B867" t="s">
        <v>13</v>
      </c>
      <c r="C867" t="s">
        <v>8</v>
      </c>
      <c r="D867">
        <v>7325.38</v>
      </c>
      <c r="E867">
        <v>160</v>
      </c>
      <c r="F867">
        <v>4</v>
      </c>
      <c r="G867">
        <v>14963.5</v>
      </c>
      <c r="H867" s="7">
        <f t="shared" si="39"/>
        <v>2.5</v>
      </c>
      <c r="I867">
        <f t="shared" si="40"/>
        <v>1.0427</v>
      </c>
      <c r="J867" t="str">
        <f t="shared" si="41"/>
        <v>Positive</v>
      </c>
    </row>
    <row r="868" spans="1:10" x14ac:dyDescent="0.3">
      <c r="A868" s="2">
        <v>45878</v>
      </c>
      <c r="B868" t="s">
        <v>5</v>
      </c>
      <c r="C868" t="s">
        <v>9</v>
      </c>
      <c r="D868">
        <v>6147.28</v>
      </c>
      <c r="E868">
        <v>149</v>
      </c>
      <c r="F868">
        <v>15</v>
      </c>
      <c r="G868">
        <v>66099.13</v>
      </c>
      <c r="H868" s="7">
        <f t="shared" si="39"/>
        <v>10.0671</v>
      </c>
      <c r="I868">
        <f t="shared" si="40"/>
        <v>9.7525999999999993</v>
      </c>
      <c r="J868" t="str">
        <f t="shared" si="41"/>
        <v>Positive</v>
      </c>
    </row>
    <row r="869" spans="1:10" x14ac:dyDescent="0.3">
      <c r="A869" s="2">
        <v>45730</v>
      </c>
      <c r="B869" t="s">
        <v>12</v>
      </c>
      <c r="C869" t="s">
        <v>6</v>
      </c>
      <c r="D869">
        <v>14732.18</v>
      </c>
      <c r="E869">
        <v>182</v>
      </c>
      <c r="F869">
        <v>20</v>
      </c>
      <c r="G869">
        <v>98127.360000000001</v>
      </c>
      <c r="H869" s="7">
        <f t="shared" si="39"/>
        <v>10.989000000000001</v>
      </c>
      <c r="I869">
        <f t="shared" si="40"/>
        <v>5.6607000000000003</v>
      </c>
      <c r="J869" t="str">
        <f t="shared" si="41"/>
        <v>Positive</v>
      </c>
    </row>
    <row r="870" spans="1:10" x14ac:dyDescent="0.3">
      <c r="A870" s="2">
        <v>45713</v>
      </c>
      <c r="B870" t="s">
        <v>7</v>
      </c>
      <c r="C870" t="s">
        <v>11</v>
      </c>
      <c r="D870">
        <v>8055.12</v>
      </c>
      <c r="E870">
        <v>213</v>
      </c>
      <c r="F870">
        <v>34</v>
      </c>
      <c r="G870">
        <v>156075.22</v>
      </c>
      <c r="H870" s="7">
        <f t="shared" si="39"/>
        <v>15.962400000000001</v>
      </c>
      <c r="I870">
        <f t="shared" si="40"/>
        <v>18.375900000000001</v>
      </c>
      <c r="J870" t="str">
        <f t="shared" si="41"/>
        <v>Positive</v>
      </c>
    </row>
    <row r="871" spans="1:10" x14ac:dyDescent="0.3">
      <c r="A871" s="2">
        <v>45765</v>
      </c>
      <c r="B871" t="s">
        <v>10</v>
      </c>
      <c r="C871" t="s">
        <v>6</v>
      </c>
      <c r="D871">
        <v>11401.9</v>
      </c>
      <c r="E871">
        <v>128</v>
      </c>
      <c r="F871">
        <v>11</v>
      </c>
      <c r="G871">
        <v>24993.51</v>
      </c>
      <c r="H871" s="7">
        <f t="shared" si="39"/>
        <v>8.5937999999999999</v>
      </c>
      <c r="I871">
        <f t="shared" si="40"/>
        <v>1.1919999999999999</v>
      </c>
      <c r="J871" t="str">
        <f t="shared" si="41"/>
        <v>Positive</v>
      </c>
    </row>
    <row r="872" spans="1:10" x14ac:dyDescent="0.3">
      <c r="A872" s="2">
        <v>45777</v>
      </c>
      <c r="B872" t="s">
        <v>5</v>
      </c>
      <c r="C872" t="s">
        <v>9</v>
      </c>
      <c r="D872">
        <v>4981.5</v>
      </c>
      <c r="E872">
        <v>28</v>
      </c>
      <c r="F872">
        <v>8</v>
      </c>
      <c r="G872">
        <v>13963.63</v>
      </c>
      <c r="H872" s="7">
        <f t="shared" si="39"/>
        <v>28.571400000000001</v>
      </c>
      <c r="I872">
        <f t="shared" si="40"/>
        <v>1.8030999999999999</v>
      </c>
      <c r="J872" t="str">
        <f t="shared" si="41"/>
        <v>Positive</v>
      </c>
    </row>
    <row r="873" spans="1:10" x14ac:dyDescent="0.3">
      <c r="A873" s="2">
        <v>45866</v>
      </c>
      <c r="B873" t="s">
        <v>10</v>
      </c>
      <c r="C873" t="s">
        <v>14</v>
      </c>
      <c r="D873">
        <v>12560.12</v>
      </c>
      <c r="E873">
        <v>130</v>
      </c>
      <c r="F873">
        <v>43</v>
      </c>
      <c r="G873">
        <v>165552.78</v>
      </c>
      <c r="H873" s="7">
        <f t="shared" si="39"/>
        <v>33.076900000000002</v>
      </c>
      <c r="I873">
        <f t="shared" si="40"/>
        <v>12.1808</v>
      </c>
      <c r="J873" t="str">
        <f t="shared" si="41"/>
        <v>Positive</v>
      </c>
    </row>
    <row r="874" spans="1:10" x14ac:dyDescent="0.3">
      <c r="A874" s="2">
        <v>45686</v>
      </c>
      <c r="B874" t="s">
        <v>12</v>
      </c>
      <c r="C874" t="s">
        <v>14</v>
      </c>
      <c r="D874">
        <v>2095.7600000000002</v>
      </c>
      <c r="E874">
        <v>44</v>
      </c>
      <c r="F874">
        <v>13</v>
      </c>
      <c r="G874">
        <v>31620.26</v>
      </c>
      <c r="H874" s="7">
        <f t="shared" si="39"/>
        <v>29.545500000000001</v>
      </c>
      <c r="I874">
        <f t="shared" si="40"/>
        <v>14.0877</v>
      </c>
      <c r="J874" t="str">
        <f t="shared" si="41"/>
        <v>Positive</v>
      </c>
    </row>
    <row r="875" spans="1:10" x14ac:dyDescent="0.3">
      <c r="A875" s="2">
        <v>45792</v>
      </c>
      <c r="B875" t="s">
        <v>10</v>
      </c>
      <c r="C875" t="s">
        <v>14</v>
      </c>
      <c r="D875">
        <v>10081.549999999999</v>
      </c>
      <c r="E875">
        <v>44</v>
      </c>
      <c r="F875">
        <v>10</v>
      </c>
      <c r="G875">
        <v>11304.03</v>
      </c>
      <c r="H875" s="7">
        <f t="shared" si="39"/>
        <v>22.7273</v>
      </c>
      <c r="I875">
        <f t="shared" si="40"/>
        <v>0.12130000000000001</v>
      </c>
      <c r="J875" t="str">
        <f t="shared" si="41"/>
        <v>Positive</v>
      </c>
    </row>
    <row r="876" spans="1:10" x14ac:dyDescent="0.3">
      <c r="A876" s="2">
        <v>45766</v>
      </c>
      <c r="B876" t="s">
        <v>10</v>
      </c>
      <c r="C876" t="s">
        <v>14</v>
      </c>
      <c r="D876">
        <v>4868.43</v>
      </c>
      <c r="E876">
        <v>21</v>
      </c>
      <c r="F876">
        <v>6</v>
      </c>
      <c r="G876">
        <v>14731.16</v>
      </c>
      <c r="H876" s="7">
        <f t="shared" si="39"/>
        <v>28.571400000000001</v>
      </c>
      <c r="I876">
        <f t="shared" si="40"/>
        <v>2.0259</v>
      </c>
      <c r="J876" t="str">
        <f t="shared" si="41"/>
        <v>Positive</v>
      </c>
    </row>
    <row r="877" spans="1:10" x14ac:dyDescent="0.3">
      <c r="A877" s="2">
        <v>45853</v>
      </c>
      <c r="B877" t="s">
        <v>13</v>
      </c>
      <c r="C877" t="s">
        <v>14</v>
      </c>
      <c r="D877">
        <v>11291.7</v>
      </c>
      <c r="E877">
        <v>175</v>
      </c>
      <c r="F877">
        <v>17</v>
      </c>
      <c r="G877">
        <v>39314.300000000003</v>
      </c>
      <c r="H877" s="7">
        <f t="shared" si="39"/>
        <v>9.7142999999999997</v>
      </c>
      <c r="I877">
        <f t="shared" si="40"/>
        <v>2.4817</v>
      </c>
      <c r="J877" t="str">
        <f t="shared" si="41"/>
        <v>Positive</v>
      </c>
    </row>
    <row r="878" spans="1:10" x14ac:dyDescent="0.3">
      <c r="A878" s="2">
        <v>46006</v>
      </c>
      <c r="B878" t="s">
        <v>10</v>
      </c>
      <c r="C878" t="s">
        <v>8</v>
      </c>
      <c r="D878">
        <v>1163.81</v>
      </c>
      <c r="E878">
        <v>242</v>
      </c>
      <c r="F878">
        <v>10</v>
      </c>
      <c r="G878">
        <v>46427.97</v>
      </c>
      <c r="H878" s="7">
        <f t="shared" si="39"/>
        <v>4.1322000000000001</v>
      </c>
      <c r="I878">
        <f t="shared" si="40"/>
        <v>38.893099999999997</v>
      </c>
      <c r="J878" t="str">
        <f t="shared" si="41"/>
        <v>Positive</v>
      </c>
    </row>
    <row r="879" spans="1:10" x14ac:dyDescent="0.3">
      <c r="A879" s="2">
        <v>45772</v>
      </c>
      <c r="B879" t="s">
        <v>7</v>
      </c>
      <c r="C879" t="s">
        <v>6</v>
      </c>
      <c r="D879">
        <v>14444.26</v>
      </c>
      <c r="E879">
        <v>120</v>
      </c>
      <c r="F879">
        <v>43</v>
      </c>
      <c r="G879">
        <v>59010.71</v>
      </c>
      <c r="H879" s="7">
        <f t="shared" si="39"/>
        <v>35.833300000000001</v>
      </c>
      <c r="I879">
        <f t="shared" si="40"/>
        <v>3.0853999999999999</v>
      </c>
      <c r="J879" t="str">
        <f t="shared" si="41"/>
        <v>Positive</v>
      </c>
    </row>
    <row r="880" spans="1:10" x14ac:dyDescent="0.3">
      <c r="A880" s="2">
        <v>45847</v>
      </c>
      <c r="B880" t="s">
        <v>7</v>
      </c>
      <c r="C880" t="s">
        <v>6</v>
      </c>
      <c r="D880">
        <v>5273.96</v>
      </c>
      <c r="E880">
        <v>159</v>
      </c>
      <c r="F880">
        <v>25</v>
      </c>
      <c r="G880">
        <v>37456.339999999997</v>
      </c>
      <c r="H880" s="7">
        <f t="shared" si="39"/>
        <v>15.7233</v>
      </c>
      <c r="I880">
        <f t="shared" si="40"/>
        <v>6.1021000000000001</v>
      </c>
      <c r="J880" t="str">
        <f t="shared" si="41"/>
        <v>Positive</v>
      </c>
    </row>
    <row r="881" spans="1:10" x14ac:dyDescent="0.3">
      <c r="A881" s="2">
        <v>45960</v>
      </c>
      <c r="B881" t="s">
        <v>10</v>
      </c>
      <c r="C881" t="s">
        <v>8</v>
      </c>
      <c r="D881">
        <v>1355.71</v>
      </c>
      <c r="E881">
        <v>130</v>
      </c>
      <c r="F881">
        <v>1</v>
      </c>
      <c r="G881">
        <v>4899.87</v>
      </c>
      <c r="H881" s="7">
        <f t="shared" si="39"/>
        <v>0.76919999999999999</v>
      </c>
      <c r="I881">
        <f t="shared" si="40"/>
        <v>2.6141999999999999</v>
      </c>
      <c r="J881" t="str">
        <f t="shared" si="41"/>
        <v>Positive</v>
      </c>
    </row>
    <row r="882" spans="1:10" x14ac:dyDescent="0.3">
      <c r="A882" s="2">
        <v>45756</v>
      </c>
      <c r="B882" t="s">
        <v>5</v>
      </c>
      <c r="C882" t="s">
        <v>9</v>
      </c>
      <c r="D882">
        <v>13257.9</v>
      </c>
      <c r="E882">
        <v>111</v>
      </c>
      <c r="F882">
        <v>39</v>
      </c>
      <c r="G882">
        <v>94875.24</v>
      </c>
      <c r="H882" s="7">
        <f t="shared" si="39"/>
        <v>35.135100000000001</v>
      </c>
      <c r="I882">
        <f t="shared" si="40"/>
        <v>6.1561000000000003</v>
      </c>
      <c r="J882" t="str">
        <f t="shared" si="41"/>
        <v>Positive</v>
      </c>
    </row>
    <row r="883" spans="1:10" x14ac:dyDescent="0.3">
      <c r="A883" s="2">
        <v>45952</v>
      </c>
      <c r="B883" t="s">
        <v>10</v>
      </c>
      <c r="C883" t="s">
        <v>6</v>
      </c>
      <c r="D883">
        <v>7002.81</v>
      </c>
      <c r="E883">
        <v>44</v>
      </c>
      <c r="F883">
        <v>14</v>
      </c>
      <c r="G883">
        <v>49978.97</v>
      </c>
      <c r="H883" s="7">
        <f t="shared" si="39"/>
        <v>31.818200000000001</v>
      </c>
      <c r="I883">
        <f t="shared" si="40"/>
        <v>6.1369999999999996</v>
      </c>
      <c r="J883" t="str">
        <f t="shared" si="41"/>
        <v>Positive</v>
      </c>
    </row>
    <row r="884" spans="1:10" x14ac:dyDescent="0.3">
      <c r="A884" s="2">
        <v>45909</v>
      </c>
      <c r="B884" t="s">
        <v>13</v>
      </c>
      <c r="C884" t="s">
        <v>14</v>
      </c>
      <c r="D884">
        <v>8074.41</v>
      </c>
      <c r="E884">
        <v>95</v>
      </c>
      <c r="F884">
        <v>29</v>
      </c>
      <c r="G884">
        <v>54477.64</v>
      </c>
      <c r="H884" s="7">
        <f t="shared" si="39"/>
        <v>30.526299999999999</v>
      </c>
      <c r="I884">
        <f t="shared" si="40"/>
        <v>5.7469000000000001</v>
      </c>
      <c r="J884" t="str">
        <f t="shared" si="41"/>
        <v>Positive</v>
      </c>
    </row>
    <row r="885" spans="1:10" x14ac:dyDescent="0.3">
      <c r="A885" s="2">
        <v>45817</v>
      </c>
      <c r="B885" t="s">
        <v>5</v>
      </c>
      <c r="C885" t="s">
        <v>8</v>
      </c>
      <c r="D885">
        <v>2081.96</v>
      </c>
      <c r="E885">
        <v>47</v>
      </c>
      <c r="F885">
        <v>12</v>
      </c>
      <c r="G885">
        <v>63837.86</v>
      </c>
      <c r="H885" s="7">
        <f t="shared" si="39"/>
        <v>25.5319</v>
      </c>
      <c r="I885">
        <f t="shared" si="40"/>
        <v>29.662400000000002</v>
      </c>
      <c r="J885" t="str">
        <f t="shared" si="41"/>
        <v>Positive</v>
      </c>
    </row>
    <row r="886" spans="1:10" x14ac:dyDescent="0.3">
      <c r="A886" s="2">
        <v>45813</v>
      </c>
      <c r="B886" t="s">
        <v>12</v>
      </c>
      <c r="C886" t="s">
        <v>8</v>
      </c>
      <c r="D886">
        <v>1334.31</v>
      </c>
      <c r="E886">
        <v>123</v>
      </c>
      <c r="F886">
        <v>16</v>
      </c>
      <c r="G886">
        <v>83960.960000000006</v>
      </c>
      <c r="H886" s="7">
        <f t="shared" si="39"/>
        <v>13.008100000000001</v>
      </c>
      <c r="I886">
        <f t="shared" si="40"/>
        <v>61.924599999999998</v>
      </c>
      <c r="J886" t="str">
        <f t="shared" si="41"/>
        <v>Positive</v>
      </c>
    </row>
    <row r="887" spans="1:10" x14ac:dyDescent="0.3">
      <c r="A887" s="2">
        <v>45667</v>
      </c>
      <c r="B887" t="s">
        <v>12</v>
      </c>
      <c r="C887" t="s">
        <v>8</v>
      </c>
      <c r="D887">
        <v>2644.13</v>
      </c>
      <c r="E887">
        <v>135</v>
      </c>
      <c r="F887">
        <v>28</v>
      </c>
      <c r="G887">
        <v>114463.08</v>
      </c>
      <c r="H887" s="7">
        <f t="shared" si="39"/>
        <v>20.7407</v>
      </c>
      <c r="I887">
        <f t="shared" si="40"/>
        <v>42.289499999999997</v>
      </c>
      <c r="J887" t="str">
        <f t="shared" si="41"/>
        <v>Positive</v>
      </c>
    </row>
    <row r="888" spans="1:10" x14ac:dyDescent="0.3">
      <c r="A888" s="2">
        <v>45983</v>
      </c>
      <c r="B888" t="s">
        <v>12</v>
      </c>
      <c r="C888" t="s">
        <v>11</v>
      </c>
      <c r="D888">
        <v>1848.84</v>
      </c>
      <c r="E888">
        <v>113</v>
      </c>
      <c r="F888">
        <v>1</v>
      </c>
      <c r="G888">
        <v>4085.62</v>
      </c>
      <c r="H888" s="7">
        <f t="shared" si="39"/>
        <v>0.88500000000000001</v>
      </c>
      <c r="I888">
        <f t="shared" si="40"/>
        <v>1.2098</v>
      </c>
      <c r="J888" t="str">
        <f t="shared" si="41"/>
        <v>Positive</v>
      </c>
    </row>
    <row r="889" spans="1:10" x14ac:dyDescent="0.3">
      <c r="A889" s="2">
        <v>45721</v>
      </c>
      <c r="B889" t="s">
        <v>5</v>
      </c>
      <c r="C889" t="s">
        <v>11</v>
      </c>
      <c r="D889">
        <v>8957.83</v>
      </c>
      <c r="E889">
        <v>33</v>
      </c>
      <c r="F889">
        <v>10</v>
      </c>
      <c r="G889">
        <v>41399.629999999997</v>
      </c>
      <c r="H889" s="7">
        <f t="shared" si="39"/>
        <v>30.303000000000001</v>
      </c>
      <c r="I889">
        <f t="shared" si="40"/>
        <v>3.6215999999999999</v>
      </c>
      <c r="J889" t="str">
        <f t="shared" si="41"/>
        <v>Positive</v>
      </c>
    </row>
    <row r="890" spans="1:10" x14ac:dyDescent="0.3">
      <c r="A890" s="2">
        <v>45871</v>
      </c>
      <c r="B890" t="s">
        <v>10</v>
      </c>
      <c r="C890" t="s">
        <v>8</v>
      </c>
      <c r="D890">
        <v>6377.66</v>
      </c>
      <c r="E890">
        <v>36</v>
      </c>
      <c r="F890">
        <v>9</v>
      </c>
      <c r="G890">
        <v>42532.72</v>
      </c>
      <c r="H890" s="7">
        <f t="shared" si="39"/>
        <v>25</v>
      </c>
      <c r="I890">
        <f t="shared" si="40"/>
        <v>5.6689999999999996</v>
      </c>
      <c r="J890" t="str">
        <f t="shared" si="41"/>
        <v>Positive</v>
      </c>
    </row>
    <row r="891" spans="1:10" x14ac:dyDescent="0.3">
      <c r="A891" s="2">
        <v>45709</v>
      </c>
      <c r="B891" t="s">
        <v>10</v>
      </c>
      <c r="C891" t="s">
        <v>9</v>
      </c>
      <c r="D891">
        <v>11516.13</v>
      </c>
      <c r="E891">
        <v>85</v>
      </c>
      <c r="F891">
        <v>15</v>
      </c>
      <c r="G891">
        <v>42388</v>
      </c>
      <c r="H891" s="7">
        <f t="shared" si="39"/>
        <v>17.647099999999998</v>
      </c>
      <c r="I891">
        <f t="shared" si="40"/>
        <v>2.6808000000000001</v>
      </c>
      <c r="J891" t="str">
        <f t="shared" si="41"/>
        <v>Positive</v>
      </c>
    </row>
    <row r="892" spans="1:10" x14ac:dyDescent="0.3">
      <c r="A892" s="2">
        <v>45684</v>
      </c>
      <c r="B892" t="s">
        <v>13</v>
      </c>
      <c r="C892" t="s">
        <v>14</v>
      </c>
      <c r="D892">
        <v>3161.13</v>
      </c>
      <c r="E892">
        <v>96</v>
      </c>
      <c r="F892">
        <v>5</v>
      </c>
      <c r="G892">
        <v>13173.92</v>
      </c>
      <c r="H892" s="7">
        <f t="shared" si="39"/>
        <v>5.2083000000000004</v>
      </c>
      <c r="I892">
        <f t="shared" si="40"/>
        <v>3.1675</v>
      </c>
      <c r="J892" t="str">
        <f t="shared" si="41"/>
        <v>Positive</v>
      </c>
    </row>
    <row r="893" spans="1:10" x14ac:dyDescent="0.3">
      <c r="A893" s="2">
        <v>45844</v>
      </c>
      <c r="B893" t="s">
        <v>13</v>
      </c>
      <c r="C893" t="s">
        <v>14</v>
      </c>
      <c r="D893">
        <v>14806.47</v>
      </c>
      <c r="E893">
        <v>153</v>
      </c>
      <c r="F893">
        <v>53</v>
      </c>
      <c r="G893">
        <v>94865.97</v>
      </c>
      <c r="H893" s="7">
        <f t="shared" si="39"/>
        <v>34.640500000000003</v>
      </c>
      <c r="I893">
        <f t="shared" si="40"/>
        <v>5.4070999999999998</v>
      </c>
      <c r="J893" t="str">
        <f t="shared" si="41"/>
        <v>Positive</v>
      </c>
    </row>
    <row r="894" spans="1:10" x14ac:dyDescent="0.3">
      <c r="A894" s="2">
        <v>46014</v>
      </c>
      <c r="B894" t="s">
        <v>13</v>
      </c>
      <c r="C894" t="s">
        <v>14</v>
      </c>
      <c r="D894">
        <v>1505.49</v>
      </c>
      <c r="E894">
        <v>87</v>
      </c>
      <c r="F894">
        <v>28</v>
      </c>
      <c r="G894">
        <v>144794.84</v>
      </c>
      <c r="H894" s="7">
        <f t="shared" si="39"/>
        <v>32.183900000000001</v>
      </c>
      <c r="I894">
        <f t="shared" si="40"/>
        <v>95.177899999999994</v>
      </c>
      <c r="J894" t="str">
        <f t="shared" si="41"/>
        <v>Positive</v>
      </c>
    </row>
    <row r="895" spans="1:10" x14ac:dyDescent="0.3">
      <c r="A895" s="2">
        <v>45895</v>
      </c>
      <c r="B895" t="s">
        <v>13</v>
      </c>
      <c r="C895" t="s">
        <v>8</v>
      </c>
      <c r="D895">
        <v>8188.23</v>
      </c>
      <c r="E895">
        <v>139</v>
      </c>
      <c r="F895">
        <v>18</v>
      </c>
      <c r="G895">
        <v>31115.02</v>
      </c>
      <c r="H895" s="7">
        <f t="shared" si="39"/>
        <v>12.9496</v>
      </c>
      <c r="I895">
        <f t="shared" si="40"/>
        <v>2.8</v>
      </c>
      <c r="J895" t="str">
        <f t="shared" si="41"/>
        <v>Positive</v>
      </c>
    </row>
    <row r="896" spans="1:10" x14ac:dyDescent="0.3">
      <c r="A896" s="2">
        <v>45942</v>
      </c>
      <c r="B896" t="s">
        <v>12</v>
      </c>
      <c r="C896" t="s">
        <v>14</v>
      </c>
      <c r="D896">
        <v>11278.94</v>
      </c>
      <c r="E896">
        <v>63</v>
      </c>
      <c r="F896">
        <v>11</v>
      </c>
      <c r="G896">
        <v>15967.21</v>
      </c>
      <c r="H896" s="7">
        <f t="shared" si="39"/>
        <v>17.4603</v>
      </c>
      <c r="I896">
        <f t="shared" si="40"/>
        <v>0.41570000000000001</v>
      </c>
      <c r="J896" t="str">
        <f t="shared" si="41"/>
        <v>Positive</v>
      </c>
    </row>
    <row r="897" spans="1:10" x14ac:dyDescent="0.3">
      <c r="A897" s="2">
        <v>46008</v>
      </c>
      <c r="B897" t="s">
        <v>10</v>
      </c>
      <c r="C897" t="s">
        <v>11</v>
      </c>
      <c r="D897">
        <v>11530.86</v>
      </c>
      <c r="E897">
        <v>178</v>
      </c>
      <c r="F897">
        <v>64</v>
      </c>
      <c r="G897">
        <v>336780.68</v>
      </c>
      <c r="H897" s="7">
        <f t="shared" si="39"/>
        <v>35.955100000000002</v>
      </c>
      <c r="I897">
        <f t="shared" si="40"/>
        <v>28.206900000000001</v>
      </c>
      <c r="J897" t="str">
        <f t="shared" si="41"/>
        <v>Positive</v>
      </c>
    </row>
    <row r="898" spans="1:10" x14ac:dyDescent="0.3">
      <c r="A898" s="2">
        <v>45761</v>
      </c>
      <c r="B898" t="s">
        <v>13</v>
      </c>
      <c r="C898" t="s">
        <v>14</v>
      </c>
      <c r="D898">
        <v>4597.63</v>
      </c>
      <c r="E898">
        <v>111</v>
      </c>
      <c r="F898">
        <v>9</v>
      </c>
      <c r="G898">
        <v>19883.47</v>
      </c>
      <c r="H898" s="7">
        <f t="shared" ref="H898:H961" si="42">ROUND((F898/E898)*100,4)</f>
        <v>8.1081000000000003</v>
      </c>
      <c r="I898">
        <f t="shared" ref="I898:I961" si="43">ROUND(((G898-D898)/D898),4)</f>
        <v>3.3247</v>
      </c>
      <c r="J898" t="str">
        <f t="shared" si="41"/>
        <v>Positive</v>
      </c>
    </row>
    <row r="899" spans="1:10" x14ac:dyDescent="0.3">
      <c r="A899" s="2">
        <v>45746</v>
      </c>
      <c r="B899" t="s">
        <v>12</v>
      </c>
      <c r="C899" t="s">
        <v>6</v>
      </c>
      <c r="D899">
        <v>8298.36</v>
      </c>
      <c r="E899">
        <v>211</v>
      </c>
      <c r="F899">
        <v>5</v>
      </c>
      <c r="G899">
        <v>16753.939999999999</v>
      </c>
      <c r="H899" s="7">
        <f t="shared" si="42"/>
        <v>2.3696999999999999</v>
      </c>
      <c r="I899">
        <f t="shared" si="43"/>
        <v>1.0188999999999999</v>
      </c>
      <c r="J899" t="str">
        <f t="shared" ref="J899:J962" si="44">IF(I899&gt;0,"Positive","Negative")</f>
        <v>Positive</v>
      </c>
    </row>
    <row r="900" spans="1:10" x14ac:dyDescent="0.3">
      <c r="A900" s="2">
        <v>45687</v>
      </c>
      <c r="B900" t="s">
        <v>13</v>
      </c>
      <c r="C900" t="s">
        <v>14</v>
      </c>
      <c r="D900">
        <v>2468.91</v>
      </c>
      <c r="E900">
        <v>221</v>
      </c>
      <c r="F900">
        <v>84</v>
      </c>
      <c r="G900">
        <v>387766.2</v>
      </c>
      <c r="H900" s="7">
        <f t="shared" si="42"/>
        <v>38.009</v>
      </c>
      <c r="I900">
        <f t="shared" si="43"/>
        <v>156.05969999999999</v>
      </c>
      <c r="J900" t="str">
        <f t="shared" si="44"/>
        <v>Positive</v>
      </c>
    </row>
    <row r="901" spans="1:10" x14ac:dyDescent="0.3">
      <c r="A901" s="2">
        <v>45705</v>
      </c>
      <c r="B901" t="s">
        <v>5</v>
      </c>
      <c r="C901" t="s">
        <v>14</v>
      </c>
      <c r="D901">
        <v>8045.14</v>
      </c>
      <c r="E901">
        <v>106</v>
      </c>
      <c r="F901">
        <v>39</v>
      </c>
      <c r="G901">
        <v>81839.11</v>
      </c>
      <c r="H901" s="7">
        <f t="shared" si="42"/>
        <v>36.792499999999997</v>
      </c>
      <c r="I901">
        <f t="shared" si="43"/>
        <v>9.1724999999999994</v>
      </c>
      <c r="J901" t="str">
        <f t="shared" si="44"/>
        <v>Positive</v>
      </c>
    </row>
    <row r="902" spans="1:10" x14ac:dyDescent="0.3">
      <c r="A902" s="2">
        <v>45783</v>
      </c>
      <c r="B902" t="s">
        <v>10</v>
      </c>
      <c r="C902" t="s">
        <v>14</v>
      </c>
      <c r="D902">
        <v>2417.88</v>
      </c>
      <c r="E902">
        <v>188</v>
      </c>
      <c r="F902">
        <v>66</v>
      </c>
      <c r="G902">
        <v>367907.96</v>
      </c>
      <c r="H902" s="7">
        <f t="shared" si="42"/>
        <v>35.106400000000001</v>
      </c>
      <c r="I902">
        <f t="shared" si="43"/>
        <v>151.16139999999999</v>
      </c>
      <c r="J902" t="str">
        <f t="shared" si="44"/>
        <v>Positive</v>
      </c>
    </row>
    <row r="903" spans="1:10" x14ac:dyDescent="0.3">
      <c r="A903" s="2">
        <v>45833</v>
      </c>
      <c r="B903" t="s">
        <v>7</v>
      </c>
      <c r="C903" t="s">
        <v>6</v>
      </c>
      <c r="D903">
        <v>7555.1</v>
      </c>
      <c r="E903">
        <v>26</v>
      </c>
      <c r="F903">
        <v>8</v>
      </c>
      <c r="G903">
        <v>36242.69</v>
      </c>
      <c r="H903" s="7">
        <f t="shared" si="42"/>
        <v>30.769200000000001</v>
      </c>
      <c r="I903">
        <f t="shared" si="43"/>
        <v>3.7970999999999999</v>
      </c>
      <c r="J903" t="str">
        <f t="shared" si="44"/>
        <v>Positive</v>
      </c>
    </row>
    <row r="904" spans="1:10" x14ac:dyDescent="0.3">
      <c r="A904" s="2">
        <v>45998</v>
      </c>
      <c r="B904" t="s">
        <v>7</v>
      </c>
      <c r="C904" t="s">
        <v>9</v>
      </c>
      <c r="D904">
        <v>7517.09</v>
      </c>
      <c r="E904">
        <v>205</v>
      </c>
      <c r="F904">
        <v>66</v>
      </c>
      <c r="G904">
        <v>100682.97</v>
      </c>
      <c r="H904" s="7">
        <f t="shared" si="42"/>
        <v>32.195099999999996</v>
      </c>
      <c r="I904">
        <f t="shared" si="43"/>
        <v>12.3939</v>
      </c>
      <c r="J904" t="str">
        <f t="shared" si="44"/>
        <v>Positive</v>
      </c>
    </row>
    <row r="905" spans="1:10" x14ac:dyDescent="0.3">
      <c r="A905" s="2">
        <v>45966</v>
      </c>
      <c r="B905" t="s">
        <v>13</v>
      </c>
      <c r="C905" t="s">
        <v>6</v>
      </c>
      <c r="D905">
        <v>5354.02</v>
      </c>
      <c r="E905">
        <v>76</v>
      </c>
      <c r="F905">
        <v>13</v>
      </c>
      <c r="G905">
        <v>74590.289999999994</v>
      </c>
      <c r="H905" s="7">
        <f t="shared" si="42"/>
        <v>17.1053</v>
      </c>
      <c r="I905">
        <f t="shared" si="43"/>
        <v>12.9316</v>
      </c>
      <c r="J905" t="str">
        <f t="shared" si="44"/>
        <v>Positive</v>
      </c>
    </row>
    <row r="906" spans="1:10" x14ac:dyDescent="0.3">
      <c r="A906" s="2">
        <v>45895</v>
      </c>
      <c r="B906" t="s">
        <v>13</v>
      </c>
      <c r="C906" t="s">
        <v>9</v>
      </c>
      <c r="D906">
        <v>3234.68</v>
      </c>
      <c r="E906">
        <v>173</v>
      </c>
      <c r="F906">
        <v>64</v>
      </c>
      <c r="G906">
        <v>329505.73</v>
      </c>
      <c r="H906" s="7">
        <f t="shared" si="42"/>
        <v>36.994199999999999</v>
      </c>
      <c r="I906">
        <f t="shared" si="43"/>
        <v>100.86660000000001</v>
      </c>
      <c r="J906" t="str">
        <f t="shared" si="44"/>
        <v>Positive</v>
      </c>
    </row>
    <row r="907" spans="1:10" x14ac:dyDescent="0.3">
      <c r="A907" s="2">
        <v>45821</v>
      </c>
      <c r="B907" t="s">
        <v>13</v>
      </c>
      <c r="C907" t="s">
        <v>11</v>
      </c>
      <c r="D907">
        <v>11035.94</v>
      </c>
      <c r="E907">
        <v>86</v>
      </c>
      <c r="F907">
        <v>2</v>
      </c>
      <c r="G907">
        <v>7864.63</v>
      </c>
      <c r="H907" s="7">
        <f t="shared" si="42"/>
        <v>2.3256000000000001</v>
      </c>
      <c r="I907">
        <f t="shared" si="43"/>
        <v>-0.28739999999999999</v>
      </c>
      <c r="J907" t="str">
        <f t="shared" si="44"/>
        <v>Negative</v>
      </c>
    </row>
    <row r="908" spans="1:10" x14ac:dyDescent="0.3">
      <c r="A908" s="2">
        <v>45704</v>
      </c>
      <c r="B908" t="s">
        <v>13</v>
      </c>
      <c r="C908" t="s">
        <v>6</v>
      </c>
      <c r="D908">
        <v>12402.41</v>
      </c>
      <c r="E908">
        <v>35</v>
      </c>
      <c r="F908">
        <v>9</v>
      </c>
      <c r="G908">
        <v>33085.5</v>
      </c>
      <c r="H908" s="7">
        <f t="shared" si="42"/>
        <v>25.714300000000001</v>
      </c>
      <c r="I908">
        <f t="shared" si="43"/>
        <v>1.6677</v>
      </c>
      <c r="J908" t="str">
        <f t="shared" si="44"/>
        <v>Positive</v>
      </c>
    </row>
    <row r="909" spans="1:10" x14ac:dyDescent="0.3">
      <c r="A909" s="2">
        <v>46017</v>
      </c>
      <c r="B909" t="s">
        <v>10</v>
      </c>
      <c r="C909" t="s">
        <v>9</v>
      </c>
      <c r="D909">
        <v>7672.2</v>
      </c>
      <c r="E909">
        <v>140</v>
      </c>
      <c r="F909">
        <v>24</v>
      </c>
      <c r="G909">
        <v>40946.31</v>
      </c>
      <c r="H909" s="7">
        <f t="shared" si="42"/>
        <v>17.142900000000001</v>
      </c>
      <c r="I909">
        <f t="shared" si="43"/>
        <v>4.3369999999999997</v>
      </c>
      <c r="J909" t="str">
        <f t="shared" si="44"/>
        <v>Positive</v>
      </c>
    </row>
    <row r="910" spans="1:10" x14ac:dyDescent="0.3">
      <c r="A910" s="2">
        <v>45972</v>
      </c>
      <c r="B910" t="s">
        <v>10</v>
      </c>
      <c r="C910" t="s">
        <v>6</v>
      </c>
      <c r="D910">
        <v>7178.08</v>
      </c>
      <c r="E910">
        <v>218</v>
      </c>
      <c r="F910">
        <v>70</v>
      </c>
      <c r="G910">
        <v>210280.79</v>
      </c>
      <c r="H910" s="7">
        <f t="shared" si="42"/>
        <v>32.110100000000003</v>
      </c>
      <c r="I910">
        <f t="shared" si="43"/>
        <v>28.294899999999998</v>
      </c>
      <c r="J910" t="str">
        <f t="shared" si="44"/>
        <v>Positive</v>
      </c>
    </row>
    <row r="911" spans="1:10" x14ac:dyDescent="0.3">
      <c r="A911" s="2">
        <v>45755</v>
      </c>
      <c r="B911" t="s">
        <v>7</v>
      </c>
      <c r="C911" t="s">
        <v>8</v>
      </c>
      <c r="D911">
        <v>5761.07</v>
      </c>
      <c r="E911">
        <v>20</v>
      </c>
      <c r="F911">
        <v>3</v>
      </c>
      <c r="G911">
        <v>6113.39</v>
      </c>
      <c r="H911" s="7">
        <f t="shared" si="42"/>
        <v>15</v>
      </c>
      <c r="I911">
        <f t="shared" si="43"/>
        <v>6.1199999999999997E-2</v>
      </c>
      <c r="J911" t="str">
        <f t="shared" si="44"/>
        <v>Positive</v>
      </c>
    </row>
    <row r="912" spans="1:10" x14ac:dyDescent="0.3">
      <c r="A912" s="2">
        <v>45829</v>
      </c>
      <c r="B912" t="s">
        <v>7</v>
      </c>
      <c r="C912" t="s">
        <v>14</v>
      </c>
      <c r="D912">
        <v>3042.12</v>
      </c>
      <c r="E912">
        <v>165</v>
      </c>
      <c r="F912">
        <v>43</v>
      </c>
      <c r="G912">
        <v>190956.39</v>
      </c>
      <c r="H912" s="7">
        <f t="shared" si="42"/>
        <v>26.060600000000001</v>
      </c>
      <c r="I912">
        <f t="shared" si="43"/>
        <v>61.770800000000001</v>
      </c>
      <c r="J912" t="str">
        <f t="shared" si="44"/>
        <v>Positive</v>
      </c>
    </row>
    <row r="913" spans="1:10" x14ac:dyDescent="0.3">
      <c r="A913" s="2">
        <v>45969</v>
      </c>
      <c r="B913" t="s">
        <v>13</v>
      </c>
      <c r="C913" t="s">
        <v>9</v>
      </c>
      <c r="D913">
        <v>11911.42</v>
      </c>
      <c r="E913">
        <v>86</v>
      </c>
      <c r="F913">
        <v>30</v>
      </c>
      <c r="G913">
        <v>178283.83</v>
      </c>
      <c r="H913" s="7">
        <f t="shared" si="42"/>
        <v>34.883699999999997</v>
      </c>
      <c r="I913">
        <f t="shared" si="43"/>
        <v>13.967499999999999</v>
      </c>
      <c r="J913" t="str">
        <f t="shared" si="44"/>
        <v>Positive</v>
      </c>
    </row>
    <row r="914" spans="1:10" x14ac:dyDescent="0.3">
      <c r="A914" s="2">
        <v>45724</v>
      </c>
      <c r="B914" t="s">
        <v>7</v>
      </c>
      <c r="C914" t="s">
        <v>8</v>
      </c>
      <c r="D914">
        <v>4138.6499999999996</v>
      </c>
      <c r="E914">
        <v>55</v>
      </c>
      <c r="F914">
        <v>19</v>
      </c>
      <c r="G914">
        <v>91324.13</v>
      </c>
      <c r="H914" s="7">
        <f t="shared" si="42"/>
        <v>34.545499999999997</v>
      </c>
      <c r="I914">
        <f t="shared" si="43"/>
        <v>21.066199999999998</v>
      </c>
      <c r="J914" t="str">
        <f t="shared" si="44"/>
        <v>Positive</v>
      </c>
    </row>
    <row r="915" spans="1:10" x14ac:dyDescent="0.3">
      <c r="A915" s="2">
        <v>45873</v>
      </c>
      <c r="B915" t="s">
        <v>7</v>
      </c>
      <c r="C915" t="s">
        <v>11</v>
      </c>
      <c r="D915">
        <v>1606.56</v>
      </c>
      <c r="E915">
        <v>60</v>
      </c>
      <c r="F915">
        <v>1</v>
      </c>
      <c r="G915">
        <v>3004.12</v>
      </c>
      <c r="H915" s="7">
        <f t="shared" si="42"/>
        <v>1.6667000000000001</v>
      </c>
      <c r="I915">
        <f t="shared" si="43"/>
        <v>0.86990000000000001</v>
      </c>
      <c r="J915" t="str">
        <f t="shared" si="44"/>
        <v>Positive</v>
      </c>
    </row>
    <row r="916" spans="1:10" x14ac:dyDescent="0.3">
      <c r="A916" s="2">
        <v>45785</v>
      </c>
      <c r="B916" t="s">
        <v>7</v>
      </c>
      <c r="C916" t="s">
        <v>8</v>
      </c>
      <c r="D916">
        <v>14381.56</v>
      </c>
      <c r="E916">
        <v>120</v>
      </c>
      <c r="F916">
        <v>21</v>
      </c>
      <c r="G916">
        <v>31380.49</v>
      </c>
      <c r="H916" s="7">
        <f t="shared" si="42"/>
        <v>17.5</v>
      </c>
      <c r="I916">
        <f t="shared" si="43"/>
        <v>1.1819999999999999</v>
      </c>
      <c r="J916" t="str">
        <f t="shared" si="44"/>
        <v>Positive</v>
      </c>
    </row>
    <row r="917" spans="1:10" x14ac:dyDescent="0.3">
      <c r="A917" s="2">
        <v>45885</v>
      </c>
      <c r="B917" t="s">
        <v>12</v>
      </c>
      <c r="C917" t="s">
        <v>8</v>
      </c>
      <c r="D917">
        <v>13418.11</v>
      </c>
      <c r="E917">
        <v>70</v>
      </c>
      <c r="F917">
        <v>2</v>
      </c>
      <c r="G917">
        <v>2537.8000000000002</v>
      </c>
      <c r="H917" s="7">
        <f t="shared" si="42"/>
        <v>2.8571</v>
      </c>
      <c r="I917">
        <f t="shared" si="43"/>
        <v>-0.81089999999999995</v>
      </c>
      <c r="J917" t="str">
        <f t="shared" si="44"/>
        <v>Negative</v>
      </c>
    </row>
    <row r="918" spans="1:10" x14ac:dyDescent="0.3">
      <c r="A918" s="2">
        <v>45697</v>
      </c>
      <c r="B918" t="s">
        <v>5</v>
      </c>
      <c r="C918" t="s">
        <v>8</v>
      </c>
      <c r="D918">
        <v>3175.83</v>
      </c>
      <c r="E918">
        <v>47</v>
      </c>
      <c r="F918">
        <v>2</v>
      </c>
      <c r="G918">
        <v>9779.7199999999993</v>
      </c>
      <c r="H918" s="7">
        <f t="shared" si="42"/>
        <v>4.2553000000000001</v>
      </c>
      <c r="I918">
        <f t="shared" si="43"/>
        <v>2.0794000000000001</v>
      </c>
      <c r="J918" t="str">
        <f t="shared" si="44"/>
        <v>Positive</v>
      </c>
    </row>
    <row r="919" spans="1:10" x14ac:dyDescent="0.3">
      <c r="A919" s="2">
        <v>45708</v>
      </c>
      <c r="B919" t="s">
        <v>12</v>
      </c>
      <c r="C919" t="s">
        <v>14</v>
      </c>
      <c r="D919">
        <v>12186.72</v>
      </c>
      <c r="E919">
        <v>240</v>
      </c>
      <c r="F919">
        <v>15</v>
      </c>
      <c r="G919">
        <v>40700.959999999999</v>
      </c>
      <c r="H919" s="7">
        <f t="shared" si="42"/>
        <v>6.25</v>
      </c>
      <c r="I919">
        <f t="shared" si="43"/>
        <v>2.3397999999999999</v>
      </c>
      <c r="J919" t="str">
        <f t="shared" si="44"/>
        <v>Positive</v>
      </c>
    </row>
    <row r="920" spans="1:10" x14ac:dyDescent="0.3">
      <c r="A920" s="2">
        <v>46014</v>
      </c>
      <c r="B920" t="s">
        <v>7</v>
      </c>
      <c r="C920" t="s">
        <v>6</v>
      </c>
      <c r="D920">
        <v>11149.61</v>
      </c>
      <c r="E920">
        <v>232</v>
      </c>
      <c r="F920">
        <v>48</v>
      </c>
      <c r="G920">
        <v>91153</v>
      </c>
      <c r="H920" s="7">
        <f t="shared" si="42"/>
        <v>20.689699999999998</v>
      </c>
      <c r="I920">
        <f t="shared" si="43"/>
        <v>7.1753999999999998</v>
      </c>
      <c r="J920" t="str">
        <f t="shared" si="44"/>
        <v>Positive</v>
      </c>
    </row>
    <row r="921" spans="1:10" x14ac:dyDescent="0.3">
      <c r="A921" s="2">
        <v>45938</v>
      </c>
      <c r="B921" t="s">
        <v>10</v>
      </c>
      <c r="C921" t="s">
        <v>14</v>
      </c>
      <c r="D921">
        <v>2139.16</v>
      </c>
      <c r="E921">
        <v>175</v>
      </c>
      <c r="F921">
        <v>33</v>
      </c>
      <c r="G921">
        <v>168001.67</v>
      </c>
      <c r="H921" s="7">
        <f t="shared" si="42"/>
        <v>18.857099999999999</v>
      </c>
      <c r="I921">
        <f t="shared" si="43"/>
        <v>77.536299999999997</v>
      </c>
      <c r="J921" t="str">
        <f t="shared" si="44"/>
        <v>Positive</v>
      </c>
    </row>
    <row r="922" spans="1:10" x14ac:dyDescent="0.3">
      <c r="A922" s="2">
        <v>45915</v>
      </c>
      <c r="B922" t="s">
        <v>10</v>
      </c>
      <c r="C922" t="s">
        <v>8</v>
      </c>
      <c r="D922">
        <v>2996.94</v>
      </c>
      <c r="E922">
        <v>121</v>
      </c>
      <c r="F922">
        <v>27</v>
      </c>
      <c r="G922">
        <v>36957.699999999997</v>
      </c>
      <c r="H922" s="7">
        <f t="shared" si="42"/>
        <v>22.314</v>
      </c>
      <c r="I922">
        <f t="shared" si="43"/>
        <v>11.331799999999999</v>
      </c>
      <c r="J922" t="str">
        <f t="shared" si="44"/>
        <v>Positive</v>
      </c>
    </row>
    <row r="923" spans="1:10" x14ac:dyDescent="0.3">
      <c r="A923" s="2">
        <v>45680</v>
      </c>
      <c r="B923" t="s">
        <v>7</v>
      </c>
      <c r="C923" t="s">
        <v>11</v>
      </c>
      <c r="D923">
        <v>5856.77</v>
      </c>
      <c r="E923">
        <v>143</v>
      </c>
      <c r="F923">
        <v>8</v>
      </c>
      <c r="G923">
        <v>8044.12</v>
      </c>
      <c r="H923" s="7">
        <f t="shared" si="42"/>
        <v>5.5944000000000003</v>
      </c>
      <c r="I923">
        <f t="shared" si="43"/>
        <v>0.3735</v>
      </c>
      <c r="J923" t="str">
        <f t="shared" si="44"/>
        <v>Positive</v>
      </c>
    </row>
    <row r="924" spans="1:10" x14ac:dyDescent="0.3">
      <c r="A924" s="2">
        <v>45977</v>
      </c>
      <c r="B924" t="s">
        <v>7</v>
      </c>
      <c r="C924" t="s">
        <v>14</v>
      </c>
      <c r="D924">
        <v>11837.83</v>
      </c>
      <c r="E924">
        <v>197</v>
      </c>
      <c r="F924">
        <v>18</v>
      </c>
      <c r="G924">
        <v>46386.93</v>
      </c>
      <c r="H924" s="7">
        <f t="shared" si="42"/>
        <v>9.1371000000000002</v>
      </c>
      <c r="I924">
        <f t="shared" si="43"/>
        <v>2.9184999999999999</v>
      </c>
      <c r="J924" t="str">
        <f t="shared" si="44"/>
        <v>Positive</v>
      </c>
    </row>
    <row r="925" spans="1:10" x14ac:dyDescent="0.3">
      <c r="A925" s="2">
        <v>45874</v>
      </c>
      <c r="B925" t="s">
        <v>5</v>
      </c>
      <c r="C925" t="s">
        <v>9</v>
      </c>
      <c r="D925">
        <v>8041.82</v>
      </c>
      <c r="E925">
        <v>164</v>
      </c>
      <c r="F925">
        <v>60</v>
      </c>
      <c r="G925">
        <v>241831.26</v>
      </c>
      <c r="H925" s="7">
        <f t="shared" si="42"/>
        <v>36.5854</v>
      </c>
      <c r="I925">
        <f t="shared" si="43"/>
        <v>29.0717</v>
      </c>
      <c r="J925" t="str">
        <f t="shared" si="44"/>
        <v>Positive</v>
      </c>
    </row>
    <row r="926" spans="1:10" x14ac:dyDescent="0.3">
      <c r="A926" s="2">
        <v>45703</v>
      </c>
      <c r="B926" t="s">
        <v>10</v>
      </c>
      <c r="C926" t="s">
        <v>14</v>
      </c>
      <c r="D926">
        <v>8314.9</v>
      </c>
      <c r="E926">
        <v>177</v>
      </c>
      <c r="F926">
        <v>50</v>
      </c>
      <c r="G926">
        <v>168625.48</v>
      </c>
      <c r="H926" s="7">
        <f t="shared" si="42"/>
        <v>28.2486</v>
      </c>
      <c r="I926">
        <f t="shared" si="43"/>
        <v>19.279900000000001</v>
      </c>
      <c r="J926" t="str">
        <f t="shared" si="44"/>
        <v>Positive</v>
      </c>
    </row>
    <row r="927" spans="1:10" x14ac:dyDescent="0.3">
      <c r="A927" s="2">
        <v>45783</v>
      </c>
      <c r="B927" t="s">
        <v>5</v>
      </c>
      <c r="C927" t="s">
        <v>9</v>
      </c>
      <c r="D927">
        <v>13717.99</v>
      </c>
      <c r="E927">
        <v>73</v>
      </c>
      <c r="F927">
        <v>1</v>
      </c>
      <c r="G927">
        <v>1982.46</v>
      </c>
      <c r="H927" s="7">
        <f t="shared" si="42"/>
        <v>1.3698999999999999</v>
      </c>
      <c r="I927">
        <f t="shared" si="43"/>
        <v>-0.85550000000000004</v>
      </c>
      <c r="J927" t="str">
        <f t="shared" si="44"/>
        <v>Negative</v>
      </c>
    </row>
    <row r="928" spans="1:10" x14ac:dyDescent="0.3">
      <c r="A928" s="2">
        <v>45871</v>
      </c>
      <c r="B928" t="s">
        <v>10</v>
      </c>
      <c r="C928" t="s">
        <v>6</v>
      </c>
      <c r="D928">
        <v>10452.75</v>
      </c>
      <c r="E928">
        <v>142</v>
      </c>
      <c r="F928">
        <v>37</v>
      </c>
      <c r="G928">
        <v>157667.22</v>
      </c>
      <c r="H928" s="7">
        <f t="shared" si="42"/>
        <v>26.0563</v>
      </c>
      <c r="I928">
        <f t="shared" si="43"/>
        <v>14.0838</v>
      </c>
      <c r="J928" t="str">
        <f t="shared" si="44"/>
        <v>Positive</v>
      </c>
    </row>
    <row r="929" spans="1:10" x14ac:dyDescent="0.3">
      <c r="A929" s="2">
        <v>45969</v>
      </c>
      <c r="B929" t="s">
        <v>10</v>
      </c>
      <c r="C929" t="s">
        <v>6</v>
      </c>
      <c r="D929">
        <v>3637.84</v>
      </c>
      <c r="E929">
        <v>50</v>
      </c>
      <c r="F929">
        <v>3</v>
      </c>
      <c r="G929">
        <v>7957.95</v>
      </c>
      <c r="H929" s="7">
        <f t="shared" si="42"/>
        <v>6</v>
      </c>
      <c r="I929">
        <f t="shared" si="43"/>
        <v>1.1875</v>
      </c>
      <c r="J929" t="str">
        <f t="shared" si="44"/>
        <v>Positive</v>
      </c>
    </row>
    <row r="930" spans="1:10" x14ac:dyDescent="0.3">
      <c r="A930" s="2">
        <v>46021</v>
      </c>
      <c r="B930" t="s">
        <v>7</v>
      </c>
      <c r="C930" t="s">
        <v>9</v>
      </c>
      <c r="D930">
        <v>14524.49</v>
      </c>
      <c r="E930">
        <v>168</v>
      </c>
      <c r="F930">
        <v>1</v>
      </c>
      <c r="G930">
        <v>2229.46</v>
      </c>
      <c r="H930" s="7">
        <f t="shared" si="42"/>
        <v>0.59519999999999995</v>
      </c>
      <c r="I930">
        <f t="shared" si="43"/>
        <v>-0.84650000000000003</v>
      </c>
      <c r="J930" t="str">
        <f t="shared" si="44"/>
        <v>Negative</v>
      </c>
    </row>
    <row r="931" spans="1:10" x14ac:dyDescent="0.3">
      <c r="A931" s="2">
        <v>46019</v>
      </c>
      <c r="B931" t="s">
        <v>10</v>
      </c>
      <c r="C931" t="s">
        <v>11</v>
      </c>
      <c r="D931">
        <v>10529.82</v>
      </c>
      <c r="E931">
        <v>80</v>
      </c>
      <c r="F931">
        <v>32</v>
      </c>
      <c r="G931">
        <v>88549.759999999995</v>
      </c>
      <c r="H931" s="7">
        <f t="shared" si="42"/>
        <v>40</v>
      </c>
      <c r="I931">
        <f t="shared" si="43"/>
        <v>7.4093999999999998</v>
      </c>
      <c r="J931" t="str">
        <f t="shared" si="44"/>
        <v>Positive</v>
      </c>
    </row>
    <row r="932" spans="1:10" x14ac:dyDescent="0.3">
      <c r="A932" s="2">
        <v>45926</v>
      </c>
      <c r="B932" t="s">
        <v>13</v>
      </c>
      <c r="C932" t="s">
        <v>8</v>
      </c>
      <c r="D932">
        <v>12768.84</v>
      </c>
      <c r="E932">
        <v>116</v>
      </c>
      <c r="F932">
        <v>32</v>
      </c>
      <c r="G932">
        <v>119036.49</v>
      </c>
      <c r="H932" s="7">
        <f t="shared" si="42"/>
        <v>27.586200000000002</v>
      </c>
      <c r="I932">
        <f t="shared" si="43"/>
        <v>8.3224</v>
      </c>
      <c r="J932" t="str">
        <f t="shared" si="44"/>
        <v>Positive</v>
      </c>
    </row>
    <row r="933" spans="1:10" x14ac:dyDescent="0.3">
      <c r="A933" s="2">
        <v>45770</v>
      </c>
      <c r="B933" t="s">
        <v>5</v>
      </c>
      <c r="C933" t="s">
        <v>8</v>
      </c>
      <c r="D933">
        <v>14181.97</v>
      </c>
      <c r="E933">
        <v>164</v>
      </c>
      <c r="F933">
        <v>35</v>
      </c>
      <c r="G933">
        <v>105637.75999999999</v>
      </c>
      <c r="H933" s="7">
        <f t="shared" si="42"/>
        <v>21.3415</v>
      </c>
      <c r="I933">
        <f t="shared" si="43"/>
        <v>6.4486999999999997</v>
      </c>
      <c r="J933" t="str">
        <f t="shared" si="44"/>
        <v>Positive</v>
      </c>
    </row>
    <row r="934" spans="1:10" x14ac:dyDescent="0.3">
      <c r="A934" s="2">
        <v>45901</v>
      </c>
      <c r="B934" t="s">
        <v>7</v>
      </c>
      <c r="C934" t="s">
        <v>11</v>
      </c>
      <c r="D934">
        <v>2037.01</v>
      </c>
      <c r="E934">
        <v>84</v>
      </c>
      <c r="F934">
        <v>4</v>
      </c>
      <c r="G934">
        <v>7415.27</v>
      </c>
      <c r="H934" s="7">
        <f t="shared" si="42"/>
        <v>4.7618999999999998</v>
      </c>
      <c r="I934">
        <f t="shared" si="43"/>
        <v>2.6402999999999999</v>
      </c>
      <c r="J934" t="str">
        <f t="shared" si="44"/>
        <v>Positive</v>
      </c>
    </row>
    <row r="935" spans="1:10" x14ac:dyDescent="0.3">
      <c r="A935" s="2">
        <v>45953</v>
      </c>
      <c r="B935" t="s">
        <v>10</v>
      </c>
      <c r="C935" t="s">
        <v>11</v>
      </c>
      <c r="D935">
        <v>9188.4599999999991</v>
      </c>
      <c r="E935">
        <v>249</v>
      </c>
      <c r="F935">
        <v>73</v>
      </c>
      <c r="G935">
        <v>125195.1</v>
      </c>
      <c r="H935" s="7">
        <f t="shared" si="42"/>
        <v>29.317299999999999</v>
      </c>
      <c r="I935">
        <f t="shared" si="43"/>
        <v>12.625299999999999</v>
      </c>
      <c r="J935" t="str">
        <f t="shared" si="44"/>
        <v>Positive</v>
      </c>
    </row>
    <row r="936" spans="1:10" x14ac:dyDescent="0.3">
      <c r="A936" s="2">
        <v>45830</v>
      </c>
      <c r="B936" t="s">
        <v>7</v>
      </c>
      <c r="C936" t="s">
        <v>9</v>
      </c>
      <c r="D936">
        <v>8359.26</v>
      </c>
      <c r="E936">
        <v>102</v>
      </c>
      <c r="F936">
        <v>28</v>
      </c>
      <c r="G936">
        <v>162318.35</v>
      </c>
      <c r="H936" s="7">
        <f t="shared" si="42"/>
        <v>27.451000000000001</v>
      </c>
      <c r="I936">
        <f t="shared" si="43"/>
        <v>18.4178</v>
      </c>
      <c r="J936" t="str">
        <f t="shared" si="44"/>
        <v>Positive</v>
      </c>
    </row>
    <row r="937" spans="1:10" x14ac:dyDescent="0.3">
      <c r="A937" s="2">
        <v>45853</v>
      </c>
      <c r="B937" t="s">
        <v>5</v>
      </c>
      <c r="C937" t="s">
        <v>14</v>
      </c>
      <c r="D937">
        <v>3111.53</v>
      </c>
      <c r="E937">
        <v>189</v>
      </c>
      <c r="F937">
        <v>53</v>
      </c>
      <c r="G937">
        <v>61899.41</v>
      </c>
      <c r="H937" s="7">
        <f t="shared" si="42"/>
        <v>28.042300000000001</v>
      </c>
      <c r="I937">
        <f t="shared" si="43"/>
        <v>18.893599999999999</v>
      </c>
      <c r="J937" t="str">
        <f t="shared" si="44"/>
        <v>Positive</v>
      </c>
    </row>
    <row r="938" spans="1:10" x14ac:dyDescent="0.3">
      <c r="A938" s="2">
        <v>45920</v>
      </c>
      <c r="B938" t="s">
        <v>13</v>
      </c>
      <c r="C938" t="s">
        <v>6</v>
      </c>
      <c r="D938">
        <v>3121.06</v>
      </c>
      <c r="E938">
        <v>148</v>
      </c>
      <c r="F938">
        <v>14</v>
      </c>
      <c r="G938">
        <v>42128.67</v>
      </c>
      <c r="H938" s="7">
        <f t="shared" si="42"/>
        <v>9.4595000000000002</v>
      </c>
      <c r="I938">
        <f t="shared" si="43"/>
        <v>12.498200000000001</v>
      </c>
      <c r="J938" t="str">
        <f t="shared" si="44"/>
        <v>Positive</v>
      </c>
    </row>
    <row r="939" spans="1:10" x14ac:dyDescent="0.3">
      <c r="A939" s="2">
        <v>46014</v>
      </c>
      <c r="B939" t="s">
        <v>5</v>
      </c>
      <c r="C939" t="s">
        <v>14</v>
      </c>
      <c r="D939">
        <v>12098.11</v>
      </c>
      <c r="E939">
        <v>59</v>
      </c>
      <c r="F939">
        <v>4</v>
      </c>
      <c r="G939">
        <v>9638.76</v>
      </c>
      <c r="H939" s="7">
        <f t="shared" si="42"/>
        <v>6.7797000000000001</v>
      </c>
      <c r="I939">
        <f t="shared" si="43"/>
        <v>-0.20330000000000001</v>
      </c>
      <c r="J939" t="str">
        <f t="shared" si="44"/>
        <v>Negative</v>
      </c>
    </row>
    <row r="940" spans="1:10" x14ac:dyDescent="0.3">
      <c r="A940" s="2">
        <v>45772</v>
      </c>
      <c r="B940" t="s">
        <v>13</v>
      </c>
      <c r="C940" t="s">
        <v>14</v>
      </c>
      <c r="D940">
        <v>2831.88</v>
      </c>
      <c r="E940">
        <v>173</v>
      </c>
      <c r="F940">
        <v>20</v>
      </c>
      <c r="G940">
        <v>32208.97</v>
      </c>
      <c r="H940" s="7">
        <f t="shared" si="42"/>
        <v>11.560700000000001</v>
      </c>
      <c r="I940">
        <f t="shared" si="43"/>
        <v>10.373699999999999</v>
      </c>
      <c r="J940" t="str">
        <f t="shared" si="44"/>
        <v>Positive</v>
      </c>
    </row>
    <row r="941" spans="1:10" x14ac:dyDescent="0.3">
      <c r="A941" s="2">
        <v>45940</v>
      </c>
      <c r="B941" t="s">
        <v>10</v>
      </c>
      <c r="C941" t="s">
        <v>9</v>
      </c>
      <c r="D941">
        <v>7794.99</v>
      </c>
      <c r="E941">
        <v>95</v>
      </c>
      <c r="F941">
        <v>10</v>
      </c>
      <c r="G941">
        <v>49774.11</v>
      </c>
      <c r="H941" s="7">
        <f t="shared" si="42"/>
        <v>10.526300000000001</v>
      </c>
      <c r="I941">
        <f t="shared" si="43"/>
        <v>5.3853999999999997</v>
      </c>
      <c r="J941" t="str">
        <f t="shared" si="44"/>
        <v>Positive</v>
      </c>
    </row>
    <row r="942" spans="1:10" x14ac:dyDescent="0.3">
      <c r="A942" s="2">
        <v>45778</v>
      </c>
      <c r="B942" t="s">
        <v>7</v>
      </c>
      <c r="C942" t="s">
        <v>11</v>
      </c>
      <c r="D942">
        <v>7076.51</v>
      </c>
      <c r="E942">
        <v>51</v>
      </c>
      <c r="F942">
        <v>14</v>
      </c>
      <c r="G942">
        <v>43234.17</v>
      </c>
      <c r="H942" s="7">
        <f t="shared" si="42"/>
        <v>27.451000000000001</v>
      </c>
      <c r="I942">
        <f t="shared" si="43"/>
        <v>5.1094999999999997</v>
      </c>
      <c r="J942" t="str">
        <f t="shared" si="44"/>
        <v>Positive</v>
      </c>
    </row>
    <row r="943" spans="1:10" x14ac:dyDescent="0.3">
      <c r="A943" s="2">
        <v>45895</v>
      </c>
      <c r="B943" t="s">
        <v>5</v>
      </c>
      <c r="C943" t="s">
        <v>9</v>
      </c>
      <c r="D943">
        <v>8898.02</v>
      </c>
      <c r="E943">
        <v>223</v>
      </c>
      <c r="F943">
        <v>8</v>
      </c>
      <c r="G943">
        <v>33942.51</v>
      </c>
      <c r="H943" s="7">
        <f t="shared" si="42"/>
        <v>3.5874000000000001</v>
      </c>
      <c r="I943">
        <f t="shared" si="43"/>
        <v>2.8146</v>
      </c>
      <c r="J943" t="str">
        <f t="shared" si="44"/>
        <v>Positive</v>
      </c>
    </row>
    <row r="944" spans="1:10" x14ac:dyDescent="0.3">
      <c r="A944" s="2">
        <v>45729</v>
      </c>
      <c r="B944" t="s">
        <v>12</v>
      </c>
      <c r="C944" t="s">
        <v>9</v>
      </c>
      <c r="D944">
        <v>7490.08</v>
      </c>
      <c r="E944">
        <v>117</v>
      </c>
      <c r="F944">
        <v>31</v>
      </c>
      <c r="G944">
        <v>60836.84</v>
      </c>
      <c r="H944" s="7">
        <f t="shared" si="42"/>
        <v>26.495699999999999</v>
      </c>
      <c r="I944">
        <f t="shared" si="43"/>
        <v>7.1223000000000001</v>
      </c>
      <c r="J944" t="str">
        <f t="shared" si="44"/>
        <v>Positive</v>
      </c>
    </row>
    <row r="945" spans="1:10" x14ac:dyDescent="0.3">
      <c r="A945" s="2">
        <v>45898</v>
      </c>
      <c r="B945" t="s">
        <v>12</v>
      </c>
      <c r="C945" t="s">
        <v>6</v>
      </c>
      <c r="D945">
        <v>12188.69</v>
      </c>
      <c r="E945">
        <v>220</v>
      </c>
      <c r="F945">
        <v>10</v>
      </c>
      <c r="G945">
        <v>32072.73</v>
      </c>
      <c r="H945" s="7">
        <f t="shared" si="42"/>
        <v>4.5454999999999997</v>
      </c>
      <c r="I945">
        <f t="shared" si="43"/>
        <v>1.6314</v>
      </c>
      <c r="J945" t="str">
        <f t="shared" si="44"/>
        <v>Positive</v>
      </c>
    </row>
    <row r="946" spans="1:10" x14ac:dyDescent="0.3">
      <c r="A946" s="2">
        <v>45992</v>
      </c>
      <c r="B946" t="s">
        <v>7</v>
      </c>
      <c r="C946" t="s">
        <v>11</v>
      </c>
      <c r="D946">
        <v>9597.17</v>
      </c>
      <c r="E946">
        <v>158</v>
      </c>
      <c r="F946">
        <v>61</v>
      </c>
      <c r="G946">
        <v>301895.21999999997</v>
      </c>
      <c r="H946" s="7">
        <f t="shared" si="42"/>
        <v>38.607599999999998</v>
      </c>
      <c r="I946">
        <f t="shared" si="43"/>
        <v>30.456700000000001</v>
      </c>
      <c r="J946" t="str">
        <f t="shared" si="44"/>
        <v>Positive</v>
      </c>
    </row>
    <row r="947" spans="1:10" x14ac:dyDescent="0.3">
      <c r="A947" s="2">
        <v>45811</v>
      </c>
      <c r="B947" t="s">
        <v>10</v>
      </c>
      <c r="C947" t="s">
        <v>6</v>
      </c>
      <c r="D947">
        <v>11011.67</v>
      </c>
      <c r="E947">
        <v>224</v>
      </c>
      <c r="F947">
        <v>55</v>
      </c>
      <c r="G947">
        <v>202097.25</v>
      </c>
      <c r="H947" s="7">
        <f t="shared" si="42"/>
        <v>24.553599999999999</v>
      </c>
      <c r="I947">
        <f t="shared" si="43"/>
        <v>17.353000000000002</v>
      </c>
      <c r="J947" t="str">
        <f t="shared" si="44"/>
        <v>Positive</v>
      </c>
    </row>
    <row r="948" spans="1:10" x14ac:dyDescent="0.3">
      <c r="A948" s="2">
        <v>45909</v>
      </c>
      <c r="B948" t="s">
        <v>12</v>
      </c>
      <c r="C948" t="s">
        <v>6</v>
      </c>
      <c r="D948">
        <v>14220.26</v>
      </c>
      <c r="E948">
        <v>82</v>
      </c>
      <c r="F948">
        <v>8</v>
      </c>
      <c r="G948">
        <v>10642.4</v>
      </c>
      <c r="H948" s="7">
        <f t="shared" si="42"/>
        <v>9.7561</v>
      </c>
      <c r="I948">
        <f t="shared" si="43"/>
        <v>-0.25159999999999999</v>
      </c>
      <c r="J948" t="str">
        <f t="shared" si="44"/>
        <v>Negative</v>
      </c>
    </row>
    <row r="949" spans="1:10" x14ac:dyDescent="0.3">
      <c r="A949" s="2">
        <v>45878</v>
      </c>
      <c r="B949" t="s">
        <v>10</v>
      </c>
      <c r="C949" t="s">
        <v>9</v>
      </c>
      <c r="D949">
        <v>7072.33</v>
      </c>
      <c r="E949">
        <v>244</v>
      </c>
      <c r="F949">
        <v>45</v>
      </c>
      <c r="G949">
        <v>221445.85</v>
      </c>
      <c r="H949" s="7">
        <f t="shared" si="42"/>
        <v>18.442599999999999</v>
      </c>
      <c r="I949">
        <f t="shared" si="43"/>
        <v>30.311599999999999</v>
      </c>
      <c r="J949" t="str">
        <f t="shared" si="44"/>
        <v>Positive</v>
      </c>
    </row>
    <row r="950" spans="1:10" x14ac:dyDescent="0.3">
      <c r="A950" s="2">
        <v>45900</v>
      </c>
      <c r="B950" t="s">
        <v>12</v>
      </c>
      <c r="C950" t="s">
        <v>14</v>
      </c>
      <c r="D950">
        <v>1185.02</v>
      </c>
      <c r="E950">
        <v>83</v>
      </c>
      <c r="F950">
        <v>27</v>
      </c>
      <c r="G950">
        <v>75525.119999999995</v>
      </c>
      <c r="H950" s="7">
        <f t="shared" si="42"/>
        <v>32.530099999999997</v>
      </c>
      <c r="I950">
        <f t="shared" si="43"/>
        <v>62.733199999999997</v>
      </c>
      <c r="J950" t="str">
        <f t="shared" si="44"/>
        <v>Positive</v>
      </c>
    </row>
    <row r="951" spans="1:10" x14ac:dyDescent="0.3">
      <c r="A951" s="2">
        <v>45968</v>
      </c>
      <c r="B951" t="s">
        <v>12</v>
      </c>
      <c r="C951" t="s">
        <v>11</v>
      </c>
      <c r="D951">
        <v>9677.7900000000009</v>
      </c>
      <c r="E951">
        <v>33</v>
      </c>
      <c r="F951">
        <v>8</v>
      </c>
      <c r="G951">
        <v>41306.65</v>
      </c>
      <c r="H951" s="7">
        <f t="shared" si="42"/>
        <v>24.2424</v>
      </c>
      <c r="I951">
        <f t="shared" si="43"/>
        <v>3.2682000000000002</v>
      </c>
      <c r="J951" t="str">
        <f t="shared" si="44"/>
        <v>Positive</v>
      </c>
    </row>
    <row r="952" spans="1:10" x14ac:dyDescent="0.3">
      <c r="A952" s="2">
        <v>45901</v>
      </c>
      <c r="B952" t="s">
        <v>12</v>
      </c>
      <c r="C952" t="s">
        <v>8</v>
      </c>
      <c r="D952">
        <v>13528.34</v>
      </c>
      <c r="E952">
        <v>203</v>
      </c>
      <c r="F952">
        <v>50</v>
      </c>
      <c r="G952">
        <v>80813.23</v>
      </c>
      <c r="H952" s="7">
        <f t="shared" si="42"/>
        <v>24.630500000000001</v>
      </c>
      <c r="I952">
        <f t="shared" si="43"/>
        <v>4.9736000000000002</v>
      </c>
      <c r="J952" t="str">
        <f t="shared" si="44"/>
        <v>Positive</v>
      </c>
    </row>
    <row r="953" spans="1:10" x14ac:dyDescent="0.3">
      <c r="A953" s="2">
        <v>45974</v>
      </c>
      <c r="B953" t="s">
        <v>7</v>
      </c>
      <c r="C953" t="s">
        <v>11</v>
      </c>
      <c r="D953">
        <v>1889.4</v>
      </c>
      <c r="E953">
        <v>84</v>
      </c>
      <c r="F953">
        <v>17</v>
      </c>
      <c r="G953">
        <v>46129.25</v>
      </c>
      <c r="H953" s="7">
        <f t="shared" si="42"/>
        <v>20.238099999999999</v>
      </c>
      <c r="I953">
        <f t="shared" si="43"/>
        <v>23.4148</v>
      </c>
      <c r="J953" t="str">
        <f t="shared" si="44"/>
        <v>Positive</v>
      </c>
    </row>
    <row r="954" spans="1:10" x14ac:dyDescent="0.3">
      <c r="A954" s="2">
        <v>45750</v>
      </c>
      <c r="B954" t="s">
        <v>13</v>
      </c>
      <c r="C954" t="s">
        <v>6</v>
      </c>
      <c r="D954">
        <v>11783.91</v>
      </c>
      <c r="E954">
        <v>116</v>
      </c>
      <c r="F954">
        <v>36</v>
      </c>
      <c r="G954">
        <v>105811.26</v>
      </c>
      <c r="H954" s="7">
        <f t="shared" si="42"/>
        <v>31.034500000000001</v>
      </c>
      <c r="I954">
        <f t="shared" si="43"/>
        <v>7.9793000000000003</v>
      </c>
      <c r="J954" t="str">
        <f t="shared" si="44"/>
        <v>Positive</v>
      </c>
    </row>
    <row r="955" spans="1:10" x14ac:dyDescent="0.3">
      <c r="A955" s="2">
        <v>45831</v>
      </c>
      <c r="B955" t="s">
        <v>5</v>
      </c>
      <c r="C955" t="s">
        <v>9</v>
      </c>
      <c r="D955">
        <v>4618.28</v>
      </c>
      <c r="E955">
        <v>78</v>
      </c>
      <c r="F955">
        <v>25</v>
      </c>
      <c r="G955">
        <v>25517.72</v>
      </c>
      <c r="H955" s="7">
        <f t="shared" si="42"/>
        <v>32.051299999999998</v>
      </c>
      <c r="I955">
        <f t="shared" si="43"/>
        <v>4.5254000000000003</v>
      </c>
      <c r="J955" t="str">
        <f t="shared" si="44"/>
        <v>Positive</v>
      </c>
    </row>
    <row r="956" spans="1:10" x14ac:dyDescent="0.3">
      <c r="A956" s="2">
        <v>45923</v>
      </c>
      <c r="B956" t="s">
        <v>10</v>
      </c>
      <c r="C956" t="s">
        <v>8</v>
      </c>
      <c r="D956">
        <v>8542.42</v>
      </c>
      <c r="E956">
        <v>50</v>
      </c>
      <c r="F956">
        <v>9</v>
      </c>
      <c r="G956">
        <v>35621.29</v>
      </c>
      <c r="H956" s="7">
        <f t="shared" si="42"/>
        <v>18</v>
      </c>
      <c r="I956">
        <f t="shared" si="43"/>
        <v>3.1699000000000002</v>
      </c>
      <c r="J956" t="str">
        <f t="shared" si="44"/>
        <v>Positive</v>
      </c>
    </row>
    <row r="957" spans="1:10" x14ac:dyDescent="0.3">
      <c r="A957" s="2">
        <v>45886</v>
      </c>
      <c r="B957" t="s">
        <v>12</v>
      </c>
      <c r="C957" t="s">
        <v>8</v>
      </c>
      <c r="D957">
        <v>7881.49</v>
      </c>
      <c r="E957">
        <v>143</v>
      </c>
      <c r="F957">
        <v>12</v>
      </c>
      <c r="G957">
        <v>53876.21</v>
      </c>
      <c r="H957" s="7">
        <f t="shared" si="42"/>
        <v>8.3916000000000004</v>
      </c>
      <c r="I957">
        <f t="shared" si="43"/>
        <v>5.8357999999999999</v>
      </c>
      <c r="J957" t="str">
        <f t="shared" si="44"/>
        <v>Positive</v>
      </c>
    </row>
    <row r="958" spans="1:10" x14ac:dyDescent="0.3">
      <c r="A958" s="2">
        <v>45820</v>
      </c>
      <c r="B958" t="s">
        <v>13</v>
      </c>
      <c r="C958" t="s">
        <v>6</v>
      </c>
      <c r="D958">
        <v>12016.32</v>
      </c>
      <c r="E958">
        <v>230</v>
      </c>
      <c r="F958">
        <v>44</v>
      </c>
      <c r="G958">
        <v>261683.59</v>
      </c>
      <c r="H958" s="7">
        <f t="shared" si="42"/>
        <v>19.130400000000002</v>
      </c>
      <c r="I958">
        <f t="shared" si="43"/>
        <v>20.7773</v>
      </c>
      <c r="J958" t="str">
        <f t="shared" si="44"/>
        <v>Positive</v>
      </c>
    </row>
    <row r="959" spans="1:10" x14ac:dyDescent="0.3">
      <c r="A959" s="2">
        <v>45973</v>
      </c>
      <c r="B959" t="s">
        <v>12</v>
      </c>
      <c r="C959" t="s">
        <v>9</v>
      </c>
      <c r="D959">
        <v>6722.52</v>
      </c>
      <c r="E959">
        <v>109</v>
      </c>
      <c r="F959">
        <v>22</v>
      </c>
      <c r="G959">
        <v>36563.279999999999</v>
      </c>
      <c r="H959" s="7">
        <f t="shared" si="42"/>
        <v>20.183499999999999</v>
      </c>
      <c r="I959">
        <f t="shared" si="43"/>
        <v>4.4389000000000003</v>
      </c>
      <c r="J959" t="str">
        <f t="shared" si="44"/>
        <v>Positive</v>
      </c>
    </row>
    <row r="960" spans="1:10" x14ac:dyDescent="0.3">
      <c r="A960" s="2">
        <v>45943</v>
      </c>
      <c r="B960" t="s">
        <v>10</v>
      </c>
      <c r="C960" t="s">
        <v>11</v>
      </c>
      <c r="D960">
        <v>8843.61</v>
      </c>
      <c r="E960">
        <v>235</v>
      </c>
      <c r="F960">
        <v>33</v>
      </c>
      <c r="G960">
        <v>168499.19</v>
      </c>
      <c r="H960" s="7">
        <f t="shared" si="42"/>
        <v>14.0426</v>
      </c>
      <c r="I960">
        <f t="shared" si="43"/>
        <v>18.0532</v>
      </c>
      <c r="J960" t="str">
        <f t="shared" si="44"/>
        <v>Positive</v>
      </c>
    </row>
    <row r="961" spans="1:10" x14ac:dyDescent="0.3">
      <c r="A961" s="2">
        <v>45803</v>
      </c>
      <c r="B961" t="s">
        <v>13</v>
      </c>
      <c r="C961" t="s">
        <v>8</v>
      </c>
      <c r="D961">
        <v>13606.49</v>
      </c>
      <c r="E961">
        <v>127</v>
      </c>
      <c r="F961">
        <v>40</v>
      </c>
      <c r="G961">
        <v>145884.01999999999</v>
      </c>
      <c r="H961" s="7">
        <f t="shared" si="42"/>
        <v>31.496099999999998</v>
      </c>
      <c r="I961">
        <f t="shared" si="43"/>
        <v>9.7216000000000005</v>
      </c>
      <c r="J961" t="str">
        <f t="shared" si="44"/>
        <v>Positive</v>
      </c>
    </row>
    <row r="962" spans="1:10" x14ac:dyDescent="0.3">
      <c r="A962" s="2">
        <v>45925</v>
      </c>
      <c r="B962" t="s">
        <v>7</v>
      </c>
      <c r="C962" t="s">
        <v>14</v>
      </c>
      <c r="D962">
        <v>14959.53</v>
      </c>
      <c r="E962">
        <v>42</v>
      </c>
      <c r="F962">
        <v>16</v>
      </c>
      <c r="G962">
        <v>62679.29</v>
      </c>
      <c r="H962" s="7">
        <f t="shared" ref="H962:H1001" si="45">ROUND((F962/E962)*100,4)</f>
        <v>38.095199999999998</v>
      </c>
      <c r="I962">
        <f t="shared" ref="I962:I1001" si="46">ROUND(((G962-D962)/D962),4)</f>
        <v>3.1899000000000002</v>
      </c>
      <c r="J962" t="str">
        <f t="shared" si="44"/>
        <v>Positive</v>
      </c>
    </row>
    <row r="963" spans="1:10" x14ac:dyDescent="0.3">
      <c r="A963" s="2">
        <v>45972</v>
      </c>
      <c r="B963" t="s">
        <v>12</v>
      </c>
      <c r="C963" t="s">
        <v>6</v>
      </c>
      <c r="D963">
        <v>3676.02</v>
      </c>
      <c r="E963">
        <v>54</v>
      </c>
      <c r="F963">
        <v>17</v>
      </c>
      <c r="G963">
        <v>65012.01</v>
      </c>
      <c r="H963" s="7">
        <f t="shared" si="45"/>
        <v>31.4815</v>
      </c>
      <c r="I963">
        <f t="shared" si="46"/>
        <v>16.685400000000001</v>
      </c>
      <c r="J963" t="str">
        <f t="shared" ref="J963:J1001" si="47">IF(I963&gt;0,"Positive","Negative")</f>
        <v>Positive</v>
      </c>
    </row>
    <row r="964" spans="1:10" x14ac:dyDescent="0.3">
      <c r="A964" s="2">
        <v>45852</v>
      </c>
      <c r="B964" t="s">
        <v>7</v>
      </c>
      <c r="C964" t="s">
        <v>14</v>
      </c>
      <c r="D964">
        <v>14101.38</v>
      </c>
      <c r="E964">
        <v>92</v>
      </c>
      <c r="F964">
        <v>5</v>
      </c>
      <c r="G964">
        <v>9256.57</v>
      </c>
      <c r="H964" s="7">
        <f t="shared" si="45"/>
        <v>5.4348000000000001</v>
      </c>
      <c r="I964">
        <f t="shared" si="46"/>
        <v>-0.34360000000000002</v>
      </c>
      <c r="J964" t="str">
        <f t="shared" si="47"/>
        <v>Negative</v>
      </c>
    </row>
    <row r="965" spans="1:10" x14ac:dyDescent="0.3">
      <c r="A965" s="2">
        <v>45971</v>
      </c>
      <c r="B965" t="s">
        <v>12</v>
      </c>
      <c r="C965" t="s">
        <v>6</v>
      </c>
      <c r="D965">
        <v>14514.46</v>
      </c>
      <c r="E965">
        <v>83</v>
      </c>
      <c r="F965">
        <v>24</v>
      </c>
      <c r="G965">
        <v>82156.350000000006</v>
      </c>
      <c r="H965" s="7">
        <f t="shared" si="45"/>
        <v>28.915700000000001</v>
      </c>
      <c r="I965">
        <f t="shared" si="46"/>
        <v>4.6603000000000003</v>
      </c>
      <c r="J965" t="str">
        <f t="shared" si="47"/>
        <v>Positive</v>
      </c>
    </row>
    <row r="966" spans="1:10" x14ac:dyDescent="0.3">
      <c r="A966" s="2">
        <v>45886</v>
      </c>
      <c r="B966" t="s">
        <v>7</v>
      </c>
      <c r="C966" t="s">
        <v>14</v>
      </c>
      <c r="D966">
        <v>5022.3</v>
      </c>
      <c r="E966">
        <v>216</v>
      </c>
      <c r="F966">
        <v>23</v>
      </c>
      <c r="G966">
        <v>91587.36</v>
      </c>
      <c r="H966" s="7">
        <f t="shared" si="45"/>
        <v>10.648099999999999</v>
      </c>
      <c r="I966">
        <f t="shared" si="46"/>
        <v>17.2361</v>
      </c>
      <c r="J966" t="str">
        <f t="shared" si="47"/>
        <v>Positive</v>
      </c>
    </row>
    <row r="967" spans="1:10" x14ac:dyDescent="0.3">
      <c r="A967" s="2">
        <v>45732</v>
      </c>
      <c r="B967" t="s">
        <v>12</v>
      </c>
      <c r="C967" t="s">
        <v>6</v>
      </c>
      <c r="D967">
        <v>14820.16</v>
      </c>
      <c r="E967">
        <v>201</v>
      </c>
      <c r="F967">
        <v>55</v>
      </c>
      <c r="G967">
        <v>158569.07999999999</v>
      </c>
      <c r="H967" s="7">
        <f t="shared" si="45"/>
        <v>27.363199999999999</v>
      </c>
      <c r="I967">
        <f t="shared" si="46"/>
        <v>9.6996000000000002</v>
      </c>
      <c r="J967" t="str">
        <f t="shared" si="47"/>
        <v>Positive</v>
      </c>
    </row>
    <row r="968" spans="1:10" x14ac:dyDescent="0.3">
      <c r="A968" s="2">
        <v>45797</v>
      </c>
      <c r="B968" t="s">
        <v>13</v>
      </c>
      <c r="C968" t="s">
        <v>14</v>
      </c>
      <c r="D968">
        <v>9813.93</v>
      </c>
      <c r="E968">
        <v>136</v>
      </c>
      <c r="F968">
        <v>12</v>
      </c>
      <c r="G968">
        <v>66373.399999999994</v>
      </c>
      <c r="H968" s="7">
        <f t="shared" si="45"/>
        <v>8.8234999999999992</v>
      </c>
      <c r="I968">
        <f t="shared" si="46"/>
        <v>5.7632000000000003</v>
      </c>
      <c r="J968" t="str">
        <f t="shared" si="47"/>
        <v>Positive</v>
      </c>
    </row>
    <row r="969" spans="1:10" x14ac:dyDescent="0.3">
      <c r="A969" s="2">
        <v>45659</v>
      </c>
      <c r="B969" t="s">
        <v>5</v>
      </c>
      <c r="C969" t="s">
        <v>8</v>
      </c>
      <c r="D969">
        <v>2741.03</v>
      </c>
      <c r="E969">
        <v>220</v>
      </c>
      <c r="F969">
        <v>27</v>
      </c>
      <c r="G969">
        <v>69730.009999999995</v>
      </c>
      <c r="H969" s="7">
        <f t="shared" si="45"/>
        <v>12.2727</v>
      </c>
      <c r="I969">
        <f t="shared" si="46"/>
        <v>24.439299999999999</v>
      </c>
      <c r="J969" t="str">
        <f t="shared" si="47"/>
        <v>Positive</v>
      </c>
    </row>
    <row r="970" spans="1:10" x14ac:dyDescent="0.3">
      <c r="A970" s="2">
        <v>45908</v>
      </c>
      <c r="B970" t="s">
        <v>7</v>
      </c>
      <c r="C970" t="s">
        <v>14</v>
      </c>
      <c r="D970">
        <v>13163.77</v>
      </c>
      <c r="E970">
        <v>20</v>
      </c>
      <c r="F970">
        <v>1</v>
      </c>
      <c r="G970">
        <v>1540.51</v>
      </c>
      <c r="H970" s="7">
        <f t="shared" si="45"/>
        <v>5</v>
      </c>
      <c r="I970">
        <f t="shared" si="46"/>
        <v>-0.88300000000000001</v>
      </c>
      <c r="J970" t="str">
        <f t="shared" si="47"/>
        <v>Negative</v>
      </c>
    </row>
    <row r="971" spans="1:10" x14ac:dyDescent="0.3">
      <c r="A971" s="2">
        <v>45839</v>
      </c>
      <c r="B971" t="s">
        <v>10</v>
      </c>
      <c r="C971" t="s">
        <v>6</v>
      </c>
      <c r="D971">
        <v>11048.48</v>
      </c>
      <c r="E971">
        <v>225</v>
      </c>
      <c r="F971">
        <v>14</v>
      </c>
      <c r="G971">
        <v>58336.07</v>
      </c>
      <c r="H971" s="7">
        <f t="shared" si="45"/>
        <v>6.2222</v>
      </c>
      <c r="I971">
        <f t="shared" si="46"/>
        <v>4.28</v>
      </c>
      <c r="J971" t="str">
        <f t="shared" si="47"/>
        <v>Positive</v>
      </c>
    </row>
    <row r="972" spans="1:10" x14ac:dyDescent="0.3">
      <c r="A972" s="2">
        <v>45907</v>
      </c>
      <c r="B972" t="s">
        <v>5</v>
      </c>
      <c r="C972" t="s">
        <v>14</v>
      </c>
      <c r="D972">
        <v>9175.9</v>
      </c>
      <c r="E972">
        <v>193</v>
      </c>
      <c r="F972">
        <v>52</v>
      </c>
      <c r="G972">
        <v>271928.12</v>
      </c>
      <c r="H972" s="7">
        <f t="shared" si="45"/>
        <v>26.943000000000001</v>
      </c>
      <c r="I972">
        <f t="shared" si="46"/>
        <v>28.635000000000002</v>
      </c>
      <c r="J972" t="str">
        <f t="shared" si="47"/>
        <v>Positive</v>
      </c>
    </row>
    <row r="973" spans="1:10" x14ac:dyDescent="0.3">
      <c r="A973" s="2">
        <v>45814</v>
      </c>
      <c r="B973" t="s">
        <v>13</v>
      </c>
      <c r="C973" t="s">
        <v>11</v>
      </c>
      <c r="D973">
        <v>13463.59</v>
      </c>
      <c r="E973">
        <v>229</v>
      </c>
      <c r="F973">
        <v>84</v>
      </c>
      <c r="G973">
        <v>447633.62</v>
      </c>
      <c r="H973" s="7">
        <f t="shared" si="45"/>
        <v>36.681199999999997</v>
      </c>
      <c r="I973">
        <f t="shared" si="46"/>
        <v>32.247700000000002</v>
      </c>
      <c r="J973" t="str">
        <f t="shared" si="47"/>
        <v>Positive</v>
      </c>
    </row>
    <row r="974" spans="1:10" x14ac:dyDescent="0.3">
      <c r="A974" s="2">
        <v>45669</v>
      </c>
      <c r="B974" t="s">
        <v>12</v>
      </c>
      <c r="C974" t="s">
        <v>11</v>
      </c>
      <c r="D974">
        <v>12382.64</v>
      </c>
      <c r="E974">
        <v>128</v>
      </c>
      <c r="F974">
        <v>32</v>
      </c>
      <c r="G974">
        <v>186717.47</v>
      </c>
      <c r="H974" s="7">
        <f t="shared" si="45"/>
        <v>25</v>
      </c>
      <c r="I974">
        <f t="shared" si="46"/>
        <v>14.079000000000001</v>
      </c>
      <c r="J974" t="str">
        <f t="shared" si="47"/>
        <v>Positive</v>
      </c>
    </row>
    <row r="975" spans="1:10" x14ac:dyDescent="0.3">
      <c r="A975" s="2">
        <v>45701</v>
      </c>
      <c r="B975" t="s">
        <v>7</v>
      </c>
      <c r="C975" t="s">
        <v>14</v>
      </c>
      <c r="D975">
        <v>14852.61</v>
      </c>
      <c r="E975">
        <v>234</v>
      </c>
      <c r="F975">
        <v>39</v>
      </c>
      <c r="G975">
        <v>215671.48</v>
      </c>
      <c r="H975" s="7">
        <f t="shared" si="45"/>
        <v>16.666699999999999</v>
      </c>
      <c r="I975">
        <f t="shared" si="46"/>
        <v>13.520799999999999</v>
      </c>
      <c r="J975" t="str">
        <f t="shared" si="47"/>
        <v>Positive</v>
      </c>
    </row>
    <row r="976" spans="1:10" x14ac:dyDescent="0.3">
      <c r="A976" s="2">
        <v>45957</v>
      </c>
      <c r="B976" t="s">
        <v>13</v>
      </c>
      <c r="C976" t="s">
        <v>6</v>
      </c>
      <c r="D976">
        <v>14886.19</v>
      </c>
      <c r="E976">
        <v>86</v>
      </c>
      <c r="F976">
        <v>14</v>
      </c>
      <c r="G976">
        <v>57627.44</v>
      </c>
      <c r="H976" s="7">
        <f t="shared" si="45"/>
        <v>16.2791</v>
      </c>
      <c r="I976">
        <f t="shared" si="46"/>
        <v>2.8712</v>
      </c>
      <c r="J976" t="str">
        <f t="shared" si="47"/>
        <v>Positive</v>
      </c>
    </row>
    <row r="977" spans="1:10" x14ac:dyDescent="0.3">
      <c r="A977" s="2">
        <v>45961</v>
      </c>
      <c r="B977" t="s">
        <v>10</v>
      </c>
      <c r="C977" t="s">
        <v>14</v>
      </c>
      <c r="D977">
        <v>3378.74</v>
      </c>
      <c r="E977">
        <v>40</v>
      </c>
      <c r="F977">
        <v>16</v>
      </c>
      <c r="G977">
        <v>76825.47</v>
      </c>
      <c r="H977" s="7">
        <f t="shared" si="45"/>
        <v>40</v>
      </c>
      <c r="I977">
        <f t="shared" si="46"/>
        <v>21.7379</v>
      </c>
      <c r="J977" t="str">
        <f t="shared" si="47"/>
        <v>Positive</v>
      </c>
    </row>
    <row r="978" spans="1:10" x14ac:dyDescent="0.3">
      <c r="A978" s="2">
        <v>45995</v>
      </c>
      <c r="B978" t="s">
        <v>5</v>
      </c>
      <c r="C978" t="s">
        <v>8</v>
      </c>
      <c r="D978">
        <v>5995.12</v>
      </c>
      <c r="E978">
        <v>130</v>
      </c>
      <c r="F978">
        <v>29</v>
      </c>
      <c r="G978">
        <v>99755.38</v>
      </c>
      <c r="H978" s="7">
        <f t="shared" si="45"/>
        <v>22.307700000000001</v>
      </c>
      <c r="I978">
        <f t="shared" si="46"/>
        <v>15.6394</v>
      </c>
      <c r="J978" t="str">
        <f t="shared" si="47"/>
        <v>Positive</v>
      </c>
    </row>
    <row r="979" spans="1:10" x14ac:dyDescent="0.3">
      <c r="A979" s="2">
        <v>45662</v>
      </c>
      <c r="B979" t="s">
        <v>5</v>
      </c>
      <c r="C979" t="s">
        <v>8</v>
      </c>
      <c r="D979">
        <v>6265.88</v>
      </c>
      <c r="E979">
        <v>167</v>
      </c>
      <c r="F979">
        <v>53</v>
      </c>
      <c r="G979">
        <v>279184.93</v>
      </c>
      <c r="H979" s="7">
        <f t="shared" si="45"/>
        <v>31.736499999999999</v>
      </c>
      <c r="I979">
        <f t="shared" si="46"/>
        <v>43.556399999999996</v>
      </c>
      <c r="J979" t="str">
        <f t="shared" si="47"/>
        <v>Positive</v>
      </c>
    </row>
    <row r="980" spans="1:10" x14ac:dyDescent="0.3">
      <c r="A980" s="2">
        <v>45668</v>
      </c>
      <c r="B980" t="s">
        <v>10</v>
      </c>
      <c r="C980" t="s">
        <v>8</v>
      </c>
      <c r="D980">
        <v>13643.22</v>
      </c>
      <c r="E980">
        <v>191</v>
      </c>
      <c r="F980">
        <v>31</v>
      </c>
      <c r="G980">
        <v>179960.25</v>
      </c>
      <c r="H980" s="7">
        <f t="shared" si="45"/>
        <v>16.230399999999999</v>
      </c>
      <c r="I980">
        <f t="shared" si="46"/>
        <v>12.1905</v>
      </c>
      <c r="J980" t="str">
        <f t="shared" si="47"/>
        <v>Positive</v>
      </c>
    </row>
    <row r="981" spans="1:10" x14ac:dyDescent="0.3">
      <c r="A981" s="2">
        <v>45672</v>
      </c>
      <c r="B981" t="s">
        <v>10</v>
      </c>
      <c r="C981" t="s">
        <v>11</v>
      </c>
      <c r="D981">
        <v>4872.0600000000004</v>
      </c>
      <c r="E981">
        <v>93</v>
      </c>
      <c r="F981">
        <v>4</v>
      </c>
      <c r="G981">
        <v>17629.45</v>
      </c>
      <c r="H981" s="7">
        <f t="shared" si="45"/>
        <v>4.3010999999999999</v>
      </c>
      <c r="I981">
        <f t="shared" si="46"/>
        <v>2.6185</v>
      </c>
      <c r="J981" t="str">
        <f t="shared" si="47"/>
        <v>Positive</v>
      </c>
    </row>
    <row r="982" spans="1:10" x14ac:dyDescent="0.3">
      <c r="A982" s="2">
        <v>45982</v>
      </c>
      <c r="B982" t="s">
        <v>10</v>
      </c>
      <c r="C982" t="s">
        <v>14</v>
      </c>
      <c r="D982">
        <v>14645.35</v>
      </c>
      <c r="E982">
        <v>192</v>
      </c>
      <c r="F982">
        <v>76</v>
      </c>
      <c r="G982">
        <v>159028.69</v>
      </c>
      <c r="H982" s="7">
        <f t="shared" si="45"/>
        <v>39.583300000000001</v>
      </c>
      <c r="I982">
        <f t="shared" si="46"/>
        <v>9.8585999999999991</v>
      </c>
      <c r="J982" t="str">
        <f t="shared" si="47"/>
        <v>Positive</v>
      </c>
    </row>
    <row r="983" spans="1:10" x14ac:dyDescent="0.3">
      <c r="A983" s="2">
        <v>45982</v>
      </c>
      <c r="B983" t="s">
        <v>12</v>
      </c>
      <c r="C983" t="s">
        <v>14</v>
      </c>
      <c r="D983">
        <v>7980.63</v>
      </c>
      <c r="E983">
        <v>126</v>
      </c>
      <c r="F983">
        <v>31</v>
      </c>
      <c r="G983">
        <v>44048.54</v>
      </c>
      <c r="H983" s="7">
        <f t="shared" si="45"/>
        <v>24.603200000000001</v>
      </c>
      <c r="I983">
        <f t="shared" si="46"/>
        <v>4.5194000000000001</v>
      </c>
      <c r="J983" t="str">
        <f t="shared" si="47"/>
        <v>Positive</v>
      </c>
    </row>
    <row r="984" spans="1:10" x14ac:dyDescent="0.3">
      <c r="A984" s="2">
        <v>45922</v>
      </c>
      <c r="B984" t="s">
        <v>5</v>
      </c>
      <c r="C984" t="s">
        <v>11</v>
      </c>
      <c r="D984">
        <v>8190.59</v>
      </c>
      <c r="E984">
        <v>135</v>
      </c>
      <c r="F984">
        <v>10</v>
      </c>
      <c r="G984">
        <v>58116.14</v>
      </c>
      <c r="H984" s="7">
        <f t="shared" si="45"/>
        <v>7.4074</v>
      </c>
      <c r="I984">
        <f t="shared" si="46"/>
        <v>6.0955000000000004</v>
      </c>
      <c r="J984" t="str">
        <f t="shared" si="47"/>
        <v>Positive</v>
      </c>
    </row>
    <row r="985" spans="1:10" x14ac:dyDescent="0.3">
      <c r="A985" s="2">
        <v>45980</v>
      </c>
      <c r="B985" t="s">
        <v>10</v>
      </c>
      <c r="C985" t="s">
        <v>11</v>
      </c>
      <c r="D985">
        <v>5340.21</v>
      </c>
      <c r="E985">
        <v>156</v>
      </c>
      <c r="F985">
        <v>46</v>
      </c>
      <c r="G985">
        <v>240142.62</v>
      </c>
      <c r="H985" s="7">
        <f t="shared" si="45"/>
        <v>29.487200000000001</v>
      </c>
      <c r="I985">
        <f t="shared" si="46"/>
        <v>43.968800000000002</v>
      </c>
      <c r="J985" t="str">
        <f t="shared" si="47"/>
        <v>Positive</v>
      </c>
    </row>
    <row r="986" spans="1:10" x14ac:dyDescent="0.3">
      <c r="A986" s="2">
        <v>45958</v>
      </c>
      <c r="B986" t="s">
        <v>10</v>
      </c>
      <c r="C986" t="s">
        <v>11</v>
      </c>
      <c r="D986">
        <v>8680.2900000000009</v>
      </c>
      <c r="E986">
        <v>45</v>
      </c>
      <c r="F986">
        <v>13</v>
      </c>
      <c r="G986">
        <v>32794.300000000003</v>
      </c>
      <c r="H986" s="7">
        <f t="shared" si="45"/>
        <v>28.8889</v>
      </c>
      <c r="I986">
        <f t="shared" si="46"/>
        <v>2.778</v>
      </c>
      <c r="J986" t="str">
        <f t="shared" si="47"/>
        <v>Positive</v>
      </c>
    </row>
    <row r="987" spans="1:10" x14ac:dyDescent="0.3">
      <c r="A987" s="2">
        <v>45784</v>
      </c>
      <c r="B987" t="s">
        <v>5</v>
      </c>
      <c r="C987" t="s">
        <v>14</v>
      </c>
      <c r="D987">
        <v>13714.74</v>
      </c>
      <c r="E987">
        <v>164</v>
      </c>
      <c r="F987">
        <v>9</v>
      </c>
      <c r="G987">
        <v>37904.57</v>
      </c>
      <c r="H987" s="7">
        <f t="shared" si="45"/>
        <v>5.4878</v>
      </c>
      <c r="I987">
        <f t="shared" si="46"/>
        <v>1.7638</v>
      </c>
      <c r="J987" t="str">
        <f t="shared" si="47"/>
        <v>Positive</v>
      </c>
    </row>
    <row r="988" spans="1:10" x14ac:dyDescent="0.3">
      <c r="A988" s="2">
        <v>45972</v>
      </c>
      <c r="B988" t="s">
        <v>12</v>
      </c>
      <c r="C988" t="s">
        <v>9</v>
      </c>
      <c r="D988">
        <v>1753.49</v>
      </c>
      <c r="E988">
        <v>68</v>
      </c>
      <c r="F988">
        <v>26</v>
      </c>
      <c r="G988">
        <v>76586.14</v>
      </c>
      <c r="H988" s="7">
        <f t="shared" si="45"/>
        <v>38.235300000000002</v>
      </c>
      <c r="I988">
        <f t="shared" si="46"/>
        <v>42.676400000000001</v>
      </c>
      <c r="J988" t="str">
        <f t="shared" si="47"/>
        <v>Positive</v>
      </c>
    </row>
    <row r="989" spans="1:10" x14ac:dyDescent="0.3">
      <c r="A989" s="2">
        <v>45940</v>
      </c>
      <c r="B989" t="s">
        <v>5</v>
      </c>
      <c r="C989" t="s">
        <v>14</v>
      </c>
      <c r="D989">
        <v>10940.66</v>
      </c>
      <c r="E989">
        <v>112</v>
      </c>
      <c r="F989">
        <v>16</v>
      </c>
      <c r="G989">
        <v>25962.95</v>
      </c>
      <c r="H989" s="7">
        <f t="shared" si="45"/>
        <v>14.2857</v>
      </c>
      <c r="I989">
        <f t="shared" si="46"/>
        <v>1.3731</v>
      </c>
      <c r="J989" t="str">
        <f t="shared" si="47"/>
        <v>Positive</v>
      </c>
    </row>
    <row r="990" spans="1:10" x14ac:dyDescent="0.3">
      <c r="A990" s="2">
        <v>45768</v>
      </c>
      <c r="B990" t="s">
        <v>13</v>
      </c>
      <c r="C990" t="s">
        <v>11</v>
      </c>
      <c r="D990">
        <v>6861.19</v>
      </c>
      <c r="E990">
        <v>123</v>
      </c>
      <c r="F990">
        <v>22</v>
      </c>
      <c r="G990">
        <v>89188.83</v>
      </c>
      <c r="H990" s="7">
        <f t="shared" si="45"/>
        <v>17.886199999999999</v>
      </c>
      <c r="I990">
        <f t="shared" si="46"/>
        <v>11.999000000000001</v>
      </c>
      <c r="J990" t="str">
        <f t="shared" si="47"/>
        <v>Positive</v>
      </c>
    </row>
    <row r="991" spans="1:10" x14ac:dyDescent="0.3">
      <c r="A991" s="2">
        <v>45880</v>
      </c>
      <c r="B991" t="s">
        <v>13</v>
      </c>
      <c r="C991" t="s">
        <v>8</v>
      </c>
      <c r="D991">
        <v>9004.9</v>
      </c>
      <c r="E991">
        <v>67</v>
      </c>
      <c r="F991">
        <v>8</v>
      </c>
      <c r="G991">
        <v>14156.14</v>
      </c>
      <c r="H991" s="7">
        <f t="shared" si="45"/>
        <v>11.940300000000001</v>
      </c>
      <c r="I991">
        <f t="shared" si="46"/>
        <v>0.57199999999999995</v>
      </c>
      <c r="J991" t="str">
        <f t="shared" si="47"/>
        <v>Positive</v>
      </c>
    </row>
    <row r="992" spans="1:10" x14ac:dyDescent="0.3">
      <c r="A992" s="2">
        <v>46013</v>
      </c>
      <c r="B992" t="s">
        <v>5</v>
      </c>
      <c r="C992" t="s">
        <v>14</v>
      </c>
      <c r="D992">
        <v>2108.7399999999998</v>
      </c>
      <c r="E992">
        <v>40</v>
      </c>
      <c r="F992">
        <v>13</v>
      </c>
      <c r="G992">
        <v>19664.07</v>
      </c>
      <c r="H992" s="7">
        <f t="shared" si="45"/>
        <v>32.5</v>
      </c>
      <c r="I992">
        <f t="shared" si="46"/>
        <v>8.3249999999999993</v>
      </c>
      <c r="J992" t="str">
        <f t="shared" si="47"/>
        <v>Positive</v>
      </c>
    </row>
    <row r="993" spans="1:10" x14ac:dyDescent="0.3">
      <c r="A993" s="2">
        <v>45855</v>
      </c>
      <c r="B993" t="s">
        <v>13</v>
      </c>
      <c r="C993" t="s">
        <v>14</v>
      </c>
      <c r="D993">
        <v>12958.97</v>
      </c>
      <c r="E993">
        <v>112</v>
      </c>
      <c r="F993">
        <v>7</v>
      </c>
      <c r="G993">
        <v>9363.41</v>
      </c>
      <c r="H993" s="7">
        <f t="shared" si="45"/>
        <v>6.25</v>
      </c>
      <c r="I993">
        <f t="shared" si="46"/>
        <v>-0.27750000000000002</v>
      </c>
      <c r="J993" t="str">
        <f t="shared" si="47"/>
        <v>Negative</v>
      </c>
    </row>
    <row r="994" spans="1:10" x14ac:dyDescent="0.3">
      <c r="A994" s="2">
        <v>45757</v>
      </c>
      <c r="B994" t="s">
        <v>10</v>
      </c>
      <c r="C994" t="s">
        <v>14</v>
      </c>
      <c r="D994">
        <v>5757.48</v>
      </c>
      <c r="E994">
        <v>68</v>
      </c>
      <c r="F994">
        <v>9</v>
      </c>
      <c r="G994">
        <v>10813.66</v>
      </c>
      <c r="H994" s="7">
        <f t="shared" si="45"/>
        <v>13.235300000000001</v>
      </c>
      <c r="I994">
        <f t="shared" si="46"/>
        <v>0.87819999999999998</v>
      </c>
      <c r="J994" t="str">
        <f t="shared" si="47"/>
        <v>Positive</v>
      </c>
    </row>
    <row r="995" spans="1:10" x14ac:dyDescent="0.3">
      <c r="A995" s="2">
        <v>45912</v>
      </c>
      <c r="B995" t="s">
        <v>12</v>
      </c>
      <c r="C995" t="s">
        <v>14</v>
      </c>
      <c r="D995">
        <v>4667.24</v>
      </c>
      <c r="E995">
        <v>61</v>
      </c>
      <c r="F995">
        <v>2</v>
      </c>
      <c r="G995">
        <v>7567.95</v>
      </c>
      <c r="H995" s="7">
        <f t="shared" si="45"/>
        <v>3.2787000000000002</v>
      </c>
      <c r="I995">
        <f t="shared" si="46"/>
        <v>0.62150000000000005</v>
      </c>
      <c r="J995" t="str">
        <f t="shared" si="47"/>
        <v>Positive</v>
      </c>
    </row>
    <row r="996" spans="1:10" x14ac:dyDescent="0.3">
      <c r="A996" s="2">
        <v>45822</v>
      </c>
      <c r="B996" t="s">
        <v>13</v>
      </c>
      <c r="C996" t="s">
        <v>11</v>
      </c>
      <c r="D996">
        <v>9378.31</v>
      </c>
      <c r="E996">
        <v>208</v>
      </c>
      <c r="F996">
        <v>10</v>
      </c>
      <c r="G996">
        <v>44676.08</v>
      </c>
      <c r="H996" s="7">
        <f t="shared" si="45"/>
        <v>4.8076999999999996</v>
      </c>
      <c r="I996">
        <f t="shared" si="46"/>
        <v>3.7637999999999998</v>
      </c>
      <c r="J996" t="str">
        <f t="shared" si="47"/>
        <v>Positive</v>
      </c>
    </row>
    <row r="997" spans="1:10" x14ac:dyDescent="0.3">
      <c r="A997" s="2">
        <v>45676</v>
      </c>
      <c r="B997" t="s">
        <v>13</v>
      </c>
      <c r="C997" t="s">
        <v>9</v>
      </c>
      <c r="D997">
        <v>8445.2900000000009</v>
      </c>
      <c r="E997">
        <v>194</v>
      </c>
      <c r="F997">
        <v>55</v>
      </c>
      <c r="G997">
        <v>205189.89</v>
      </c>
      <c r="H997" s="7">
        <f t="shared" si="45"/>
        <v>28.3505</v>
      </c>
      <c r="I997">
        <f t="shared" si="46"/>
        <v>23.296399999999998</v>
      </c>
      <c r="J997" t="str">
        <f t="shared" si="47"/>
        <v>Positive</v>
      </c>
    </row>
    <row r="998" spans="1:10" x14ac:dyDescent="0.3">
      <c r="A998" s="2">
        <v>45660</v>
      </c>
      <c r="B998" t="s">
        <v>12</v>
      </c>
      <c r="C998" t="s">
        <v>9</v>
      </c>
      <c r="D998">
        <v>6193.03</v>
      </c>
      <c r="E998">
        <v>137</v>
      </c>
      <c r="F998">
        <v>49</v>
      </c>
      <c r="G998">
        <v>147573.24</v>
      </c>
      <c r="H998" s="7">
        <f t="shared" si="45"/>
        <v>35.766399999999997</v>
      </c>
      <c r="I998">
        <f t="shared" si="46"/>
        <v>22.828900000000001</v>
      </c>
      <c r="J998" t="str">
        <f t="shared" si="47"/>
        <v>Positive</v>
      </c>
    </row>
    <row r="999" spans="1:10" x14ac:dyDescent="0.3">
      <c r="A999" s="2">
        <v>45968</v>
      </c>
      <c r="B999" t="s">
        <v>7</v>
      </c>
      <c r="C999" t="s">
        <v>9</v>
      </c>
      <c r="D999">
        <v>5540.71</v>
      </c>
      <c r="E999">
        <v>233</v>
      </c>
      <c r="F999">
        <v>27</v>
      </c>
      <c r="G999">
        <v>86284.94</v>
      </c>
      <c r="H999" s="7">
        <f t="shared" si="45"/>
        <v>11.587999999999999</v>
      </c>
      <c r="I999">
        <f t="shared" si="46"/>
        <v>14.572900000000001</v>
      </c>
      <c r="J999" t="str">
        <f t="shared" si="47"/>
        <v>Positive</v>
      </c>
    </row>
    <row r="1000" spans="1:10" x14ac:dyDescent="0.3">
      <c r="A1000" s="2">
        <v>45697</v>
      </c>
      <c r="B1000" t="s">
        <v>10</v>
      </c>
      <c r="C1000" t="s">
        <v>8</v>
      </c>
      <c r="D1000">
        <v>9968.2999999999993</v>
      </c>
      <c r="E1000">
        <v>188</v>
      </c>
      <c r="F1000">
        <v>24</v>
      </c>
      <c r="G1000">
        <v>142719.03</v>
      </c>
      <c r="H1000" s="7">
        <f t="shared" si="45"/>
        <v>12.766</v>
      </c>
      <c r="I1000">
        <f t="shared" si="46"/>
        <v>13.317299999999999</v>
      </c>
      <c r="J1000" t="str">
        <f t="shared" si="47"/>
        <v>Positive</v>
      </c>
    </row>
    <row r="1001" spans="1:10" x14ac:dyDescent="0.3">
      <c r="A1001" s="2">
        <v>45803</v>
      </c>
      <c r="B1001" t="s">
        <v>5</v>
      </c>
      <c r="C1001" t="s">
        <v>11</v>
      </c>
      <c r="D1001">
        <v>2999.04</v>
      </c>
      <c r="E1001">
        <v>236</v>
      </c>
      <c r="F1001">
        <v>7</v>
      </c>
      <c r="G1001">
        <v>33875.97</v>
      </c>
      <c r="H1001" s="7">
        <f t="shared" si="45"/>
        <v>2.9661</v>
      </c>
      <c r="I1001">
        <f t="shared" si="46"/>
        <v>10.2956</v>
      </c>
      <c r="J1001" t="str">
        <f t="shared" si="47"/>
        <v>Positive</v>
      </c>
    </row>
  </sheetData>
  <conditionalFormatting sqref="J1">
    <cfRule type="cellIs" dxfId="11" priority="5" operator="lessThan">
      <formula>0</formula>
    </cfRule>
    <cfRule type="cellIs" dxfId="10" priority="6" operator="lessThan">
      <formula>0</formula>
    </cfRule>
  </conditionalFormatting>
  <conditionalFormatting sqref="I2:I1001">
    <cfRule type="cellIs" dxfId="5" priority="1" operator="lessThan">
      <formula>0</formula>
    </cfRule>
    <cfRule type="cellIs" dxfId="4" priority="2" operator="greaterThan">
      <formula>0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Dashboard</vt:lpstr>
      <vt:lpstr>Marketing_Campaign_Data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 T N</cp:lastModifiedBy>
  <dcterms:created xsi:type="dcterms:W3CDTF">2026-06-22T14:21:42Z</dcterms:created>
  <dcterms:modified xsi:type="dcterms:W3CDTF">2026-07-02T15:58:00Z</dcterms:modified>
</cp:coreProperties>
</file>